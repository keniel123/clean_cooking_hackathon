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Question bank" sheetId="2" state="visible" r:id="rId4"/>
    <sheet name="Schedule &amp; rotation" sheetId="3" state="visible" r:id="rId5"/>
    <sheet name="Incentive design" sheetId="4" state="visible" r:id="rId6"/>
    <sheet name="Codeboo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<sst xmlns="http://schemas.openxmlformats.org/spreadsheetml/2006/main" count="1664" uniqueCount="742">
  <si>
    <t xml:space="preserve">SMS survey question bank - eCooking &amp; daytime load-shifting</t>
  </si>
  <si>
    <t xml:space="preserve">Rural Kenya PV microgrid customers | Two-way SMS, numbered replies | English &amp; Kiswahili</t>
  </si>
  <si>
    <t xml:space="preserve">Purpose</t>
  </si>
  <si>
    <t xml:space="preserve">Understand cooking fuel choices, cooking times, barriers to daytime and electric cooking, and test incentives that shift cooking into the 10am-3pm solar window. Rewards are free electricity credits valid in that window. Smart-meter data (household kWh by time of day) is the objective outcome measure; surveys capture the why.</t>
  </si>
  <si>
    <t xml:space="preserve">Modules</t>
  </si>
  <si>
    <t xml:space="preserve">Module</t>
  </si>
  <si>
    <t xml:space="preserve">Questions</t>
  </si>
  <si>
    <t xml:space="preserve">Cadence</t>
  </si>
  <si>
    <t xml:space="preserve">Est. time</t>
  </si>
  <si>
    <t xml:space="preserve">Suggested reward</t>
  </si>
  <si>
    <t xml:space="preserve">Enrolment &amp; consent</t>
  </si>
  <si>
    <t xml:space="preserve">One-time, day 0</t>
  </si>
  <si>
    <t xml:space="preserve">2 min</t>
  </si>
  <si>
    <t xml:space="preserve">Welcome credit 0.5 kWh</t>
  </si>
  <si>
    <t xml:space="preserve">Baseline</t>
  </si>
  <si>
    <t xml:space="preserve">3 sessions in week 0 (days 1, 3, 5)</t>
  </si>
  <si>
    <t xml:space="preserve">3-4 min each</t>
  </si>
  <si>
    <t xml:space="preserve">1.0 kWh per session</t>
  </si>
  <si>
    <t xml:space="preserve">Weekly pulse</t>
  </si>
  <si>
    <t xml:space="preserve">Every week, 3-5 questions</t>
  </si>
  <si>
    <t xml:space="preserve">under 2 min</t>
  </si>
  <si>
    <t xml:space="preserve">0.4 kWh (one EPC meal)</t>
  </si>
  <si>
    <t xml:space="preserve">Monthly</t>
  </si>
  <si>
    <t xml:space="preserve">Week 4 of each month, replaces pulse</t>
  </si>
  <si>
    <t xml:space="preserve">3 min</t>
  </si>
  <si>
    <t xml:space="preserve">0.7 kWh</t>
  </si>
  <si>
    <t xml:space="preserve">Quarterly</t>
  </si>
  <si>
    <t xml:space="preserve">Months 3, 6, 9, 12, appended to monthly</t>
  </si>
  <si>
    <t xml:space="preserve">4 min</t>
  </si>
  <si>
    <t xml:space="preserve">1.0 kWh</t>
  </si>
  <si>
    <t xml:space="preserve">System messages</t>
  </si>
  <si>
    <t xml:space="preserve">Triggered</t>
  </si>
  <si>
    <t xml:space="preserve">-</t>
  </si>
  <si>
    <t xml:space="preserve">How to use this workbook</t>
  </si>
  <si>
    <t xml:space="preserve">- Question bank: every SMS as sent, in both languages, with live character counts (LEN formulas) and routing.</t>
  </si>
  <si>
    <t xml:space="preserve">- Schedule &amp; rotation: which questions go out in which week, and the annual calendar.</t>
  </si>
  <si>
    <t xml:space="preserve">- Incentive design: reward sizing (editable blue inputs) and the randomised credit-window experiment.</t>
  </si>
  <si>
    <t xml:space="preserve">- Codebook: variable names and value labels for the analysis dataset.</t>
  </si>
  <si>
    <t xml:space="preserve">- Texts over 160 GSM-7 characters are flagged in the Segments columns; keep every message to 1 SMS where possible.</t>
  </si>
  <si>
    <t xml:space="preserve">Wave / timing</t>
  </si>
  <si>
    <t xml:space="preserve">QID</t>
  </si>
  <si>
    <t xml:space="preserve">Variable</t>
  </si>
  <si>
    <t xml:space="preserve">Type</t>
  </si>
  <si>
    <t xml:space="preserve">SMS text (English)</t>
  </si>
  <si>
    <t xml:space="preserve">Chars EN</t>
  </si>
  <si>
    <t xml:space="preserve">SMS EN</t>
  </si>
  <si>
    <t xml:space="preserve">SMS text (Kiswahili)</t>
  </si>
  <si>
    <t xml:space="preserve">Chars SW</t>
  </si>
  <si>
    <t xml:space="preserve">SMS SW</t>
  </si>
  <si>
    <t xml:space="preserve">Valid replies</t>
  </si>
  <si>
    <t xml:space="preserve">Routing / skip logic</t>
  </si>
  <si>
    <t xml:space="preserve">What it measures</t>
  </si>
  <si>
    <t xml:space="preserve">Notes</t>
  </si>
  <si>
    <t xml:space="preserve">Day 0</t>
  </si>
  <si>
    <t xml:space="preserve">S0</t>
  </si>
  <si>
    <t xml:space="preserve">lang_pref</t>
  </si>
  <si>
    <t xml:space="preserve">single</t>
  </si>
  <si>
    <t xml:space="preserve">Habari! Hii ni [UTILITY]. Kwa maswali kwa Kiswahili, jibu 1. For questions in English, reply 2.</t>
  </si>
  <si>
    <t xml:space="preserve">1-2</t>
  </si>
  <si>
    <t xml:space="preserve">Language routing for all later messages</t>
  </si>
  <si>
    <t xml:space="preserve">Single bilingual message; sets language flag for the household</t>
  </si>
  <si>
    <t xml:space="preserve">S1</t>
  </si>
  <si>
    <t xml:space="preserve">consent</t>
  </si>
  <si>
    <t xml:space="preserve">We invite you to short SMS surveys about cooking and power. Each completed survey earns FREE units. Reply YES to join or NO. Text STOP anytime to leave.</t>
  </si>
  <si>
    <t xml:space="preserve">Tunakualika kwenye maswali mafupi ya SMS kuhusu upishi na umeme. Ukimaliza unapata units za BURE. Jibu NDIYO kujiunga au HAPANA. Tuma ACHA kuacha.</t>
  </si>
  <si>
    <t xml:space="preserve">YES/NO or NDIYO/HAPANA</t>
  </si>
  <si>
    <t xml:space="preserve">If NO: send thanks, no further contact</t>
  </si>
  <si>
    <t xml:space="preserve">Informed consent (Kenya DPA 2019)</t>
  </si>
  <si>
    <t xml:space="preserve">Log consent timestamp against account ID</t>
  </si>
  <si>
    <t xml:space="preserve">S2</t>
  </si>
  <si>
    <t xml:space="preserve">system</t>
  </si>
  <si>
    <t xml:space="preserve">Thank you for joining! Rewards are FREE daytime units usable 10am-3pm (saa 4 asubuhi-saa 9 alasiri) when solar power is strongest. Questions start tomorrow.</t>
  </si>
  <si>
    <t xml:space="preserve">Asante kwa kujiunga! Zawadi ni units za BURE za mchana, zinatumika 10am-3pm (saa 4 asubuhi - saa 9 alasiri) wakati nguvu ya jua iko juu. Maswali huanza kesho.</t>
  </si>
  <si>
    <t xml:space="preserve">Defines the daytime window once, in both clock conventions</t>
  </si>
  <si>
    <t xml:space="preserve">Window definition is reused implicitly by all later questions</t>
  </si>
  <si>
    <t xml:space="preserve">C1</t>
  </si>
  <si>
    <t xml:space="preserve">main_cook</t>
  </si>
  <si>
    <t xml:space="preserve">Are you the person who cooks most meals in your home? 1=Yes 2=I cook sometimes 3=I rarely cook</t>
  </si>
  <si>
    <t xml:space="preserve">Je, wewe ndiye unayepika mara nyingi nyumbani? 1=Ndiyo 2=Napika mara kwa mara tu 3=Sipiki sana</t>
  </si>
  <si>
    <t xml:space="preserve">1-3</t>
  </si>
  <si>
    <t xml:space="preserve">If 3: send SYS_PASS asking to hand phone to main cook</t>
  </si>
  <si>
    <t xml:space="preserve">Respondent identity; key covariate (proxy reporting)</t>
  </si>
  <si>
    <t xml:space="preserve">Phone owner is often not the cook; record and re-ask at re-baseline</t>
  </si>
  <si>
    <t xml:space="preserve">S1 Day 1</t>
  </si>
  <si>
    <t xml:space="preserve">B1</t>
  </si>
  <si>
    <t xml:space="preserve">hh_size</t>
  </si>
  <si>
    <t xml:space="preserve">numeric</t>
  </si>
  <si>
    <t xml:space="preserve">How many people usually eat the evening meal in your home? Reply with a number, e.g. 5</t>
  </si>
  <si>
    <t xml:space="preserve">Kwa kawaida watu wangapi hula chakula cha jioni nyumbani kwako? Jibu kwa namba, mfano 5</t>
  </si>
  <si>
    <t xml:space="preserve">1-30</t>
  </si>
  <si>
    <t xml:space="preserve">Household size; denominator for per-capita use</t>
  </si>
  <si>
    <t xml:space="preserve">Validate 1-30; re-ask once if out of range</t>
  </si>
  <si>
    <t xml:space="preserve">B2</t>
  </si>
  <si>
    <t xml:space="preserve">hh_under5</t>
  </si>
  <si>
    <t xml:space="preserve">How many children under 5 years live in your home? Reply with a number. Reply 0 if none</t>
  </si>
  <si>
    <t xml:space="preserve">Watoto wangapi chini ya miaka 5 wanaishi nyumbani kwako? Jibu kwa namba. Jibu 0 kama hakuna</t>
  </si>
  <si>
    <t xml:space="preserve">0-15</t>
  </si>
  <si>
    <t xml:space="preserve">Child presence: cooking frequency &amp; indoor smoke exposure</t>
  </si>
  <si>
    <t xml:space="preserve">B3</t>
  </si>
  <si>
    <t xml:space="preserve">phone_owner</t>
  </si>
  <si>
    <t xml:space="preserve">Whose phone is receiving these messages? 1=Mine 2=My spouse's 3=Shared family phone 4=Other</t>
  </si>
  <si>
    <t xml:space="preserve">Simu inayopokea ujumbe huu ni ya nani? 1=Yangu 2=Ya mke/mume wangu 3=Ya familia 4=Nyingine</t>
  </si>
  <si>
    <t xml:space="preserve">1-4</t>
  </si>
  <si>
    <t xml:space="preserve">Who actually answers; response quality covariate</t>
  </si>
  <si>
    <t xml:space="preserve">B4</t>
  </si>
  <si>
    <t xml:space="preserve">income_src</t>
  </si>
  <si>
    <t xml:space="preserve">What is your household's main source of income? 1=Farming 2=Own business 3=Casual work 4=Salary 5=Other</t>
  </si>
  <si>
    <t xml:space="preserve">Kipato kikuu cha nyumba yako ni nini? 1=Kilimo 2=Biashara yangu 3=Vibarua 4=Mshahara 5=Nyingine</t>
  </si>
  <si>
    <t xml:space="preserve">1-5</t>
  </si>
  <si>
    <t xml:space="preserve">Livelihood: predicts daytime availability &amp; ability to pay</t>
  </si>
  <si>
    <t xml:space="preserve">B5</t>
  </si>
  <si>
    <t xml:space="preserve">fuel_decider</t>
  </si>
  <si>
    <t xml:space="preserve">Who decides how money is spent on cooking fuel? 1=Me 2=My spouse 3=We decide together 4=Someone else</t>
  </si>
  <si>
    <t xml:space="preserve">Nani huamua matumizi ya pesa za nishati ya kupikia? 1=Mimi 2=Mke/mume wangu 3=Tunaamua pamoja 4=Mtu mwingine</t>
  </si>
  <si>
    <t xml:space="preserve">Intra-household decision making; who incentives must reach</t>
  </si>
  <si>
    <t xml:space="preserve">B6</t>
  </si>
  <si>
    <t xml:space="preserve">home_midday</t>
  </si>
  <si>
    <t xml:space="preserve">On most days, are you at home between 10am and 3pm? 1=Yes, most days 2=Some days 3=Rarely</t>
  </si>
  <si>
    <t xml:space="preserve">Siku nyingi, uko nyumbani kati ya 10am na 3pm (saa 4 - saa 9 mchana)? 1=Ndiyo siku nyingi 2=Siku zingine 3=Mara chache</t>
  </si>
  <si>
    <t xml:space="preserve">Physical availability: hard constraint on daytime cooking</t>
  </si>
  <si>
    <t xml:space="preserve">Key segmentation variable for incentive targeting</t>
  </si>
  <si>
    <t xml:space="preserve">S2 Day 3</t>
  </si>
  <si>
    <t xml:space="preserve">B7</t>
  </si>
  <si>
    <t xml:space="preserve">own_epc</t>
  </si>
  <si>
    <t xml:space="preserve">Do you have an electric pressure cooker (EPC)? 1=Yes, working 2=Yes, but broken 3=No</t>
  </si>
  <si>
    <t xml:space="preserve">Je, una jiko la shinikizo la umeme (EPC)? 1=Ndiyo, linafanya kazi 2=Ndiyo, lakini ni bovu 3=Sina</t>
  </si>
  <si>
    <t xml:space="preserve">If B7=3 and B8=3: skip W4-W7 in weekly pulse</t>
  </si>
  <si>
    <t xml:space="preserve">Appliance access</t>
  </si>
  <si>
    <t xml:space="preserve">Broken EPCs are a service opportunity; flag for follow-up</t>
  </si>
  <si>
    <t xml:space="preserve">B8</t>
  </si>
  <si>
    <t xml:space="preserve">own_hob</t>
  </si>
  <si>
    <t xml:space="preserve">Do you have an electric hob or hotplate? 1=Yes, working 2=Yes, but broken 3=No</t>
  </si>
  <si>
    <t xml:space="preserve">Je, una jiko la umeme la sahani (hotplate)? 1=Ndiyo, linafanya kazi 2=Ndiyo, lakini ni bovu 3=Sina</t>
  </si>
  <si>
    <t xml:space="preserve">See B7</t>
  </si>
  <si>
    <t xml:space="preserve">B9</t>
  </si>
  <si>
    <t xml:space="preserve">fuels_7d</t>
  </si>
  <si>
    <t xml:space="preserve">multi</t>
  </si>
  <si>
    <t xml:space="preserve">Which did you use for cooking in the past 7 days? Reply all that apply, e.g. 1,3: 1=Firewood 2=Charcoal 3=LPG gas 4=Electricity 5=Kerosene</t>
  </si>
  <si>
    <t xml:space="preserve">Ulitumia nini kupika siku 7 zilizopita? Jibu zote, mfano 1,3: 1=Kuni 2=Makaa 3=Gesi 4=Umeme 5=Mafuta ya taa</t>
  </si>
  <si>
    <t xml:space="preserve">1-5, comma separated</t>
  </si>
  <si>
    <t xml:space="preserve">Fuel stack (baseline)</t>
  </si>
  <si>
    <t xml:space="preserve">Multi-select replies are error-prone: pilot carefully</t>
  </si>
  <si>
    <t xml:space="preserve">B10</t>
  </si>
  <si>
    <t xml:space="preserve">fuel_main</t>
  </si>
  <si>
    <t xml:space="preserve">Which ONE do you use MOST to cook the main meal? 1=Firewood 2=Charcoal 3=LPG gas 4=Electricity 5=Kerosene</t>
  </si>
  <si>
    <t xml:space="preserve">Unatumia nini ZAIDI kupika chakula kikuu? Chagua MOJA: 1=Kuni 2=Makaa 3=Gesi 4=Umeme 5=Mafuta ya taa</t>
  </si>
  <si>
    <t xml:space="preserve">Primary fuel (baseline anchor for switching)</t>
  </si>
  <si>
    <t xml:space="preserve">B11</t>
  </si>
  <si>
    <t xml:space="preserve">fuel_why</t>
  </si>
  <si>
    <t xml:space="preserve">Main reason you use that fuel most? 1=Cheapest 2=Cooks fastest 3=Food tastes better 4=Easy to get 5=I know it best</t>
  </si>
  <si>
    <t xml:space="preserve">Sababu kuu ya kutumia nishati hiyo zaidi? 1=Bei nafuu 2=Inapika haraka 3=Chakula kitamu zaidi 4=Rahisi kupata 5=Naifahamu zaidi</t>
  </si>
  <si>
    <t xml:space="preserve">Fuel choice motivation (core objective)</t>
  </si>
  <si>
    <t xml:space="preserve">B12</t>
  </si>
  <si>
    <t xml:space="preserve">fuel_spend_7d</t>
  </si>
  <si>
    <t xml:space="preserve">How much did your home spend on charcoal, LPG or kerosene in the last 7 days? 1=Nothing 2=Under 100 3=100-300 4=301-500 5=Over 500 (KSh)</t>
  </si>
  <si>
    <t xml:space="preserve">Mlitumia pesa ngapi kwa makaa, gesi au mafuta ya taa siku 7 zilizopita? 1=Hakuna 2=Chini ya 100 3=100-300 4=301-500 5=Zaidi ya 500 (KSh)</t>
  </si>
  <si>
    <t xml:space="preserve">Fuel expenditure: sizes the economic case for switching</t>
  </si>
  <si>
    <t xml:space="preserve">Banded to reduce recall burden</t>
  </si>
  <si>
    <t xml:space="preserve">B13</t>
  </si>
  <si>
    <t xml:space="preserve">wood_hours</t>
  </si>
  <si>
    <t xml:space="preserve">How many hours a week does your household spend collecting firewood? 1=None 2=Under 2 3=2-5 4=6-10 5=Over 10</t>
  </si>
  <si>
    <t xml:space="preserve">Nyumba yako hutumia saa ngapi kwa wiki kutafuta kuni? 1=Hakuna 2=Chini ya 2 3=2-5 4=6-10 5=Zaidi ya 10</t>
  </si>
  <si>
    <t xml:space="preserve">Time cost of firewood: the freed-time opportunity</t>
  </si>
  <si>
    <t xml:space="preserve">Repeated monthly (M3) for trend</t>
  </si>
  <si>
    <t xml:space="preserve">B14</t>
  </si>
  <si>
    <t xml:space="preserve">meals_yday</t>
  </si>
  <si>
    <t xml:space="preserve">Which meals did you cook yesterday? Reply all, e.g. 1,3: 1=Breakfast 2=Lunch 3=Supper 4=Did not cook</t>
  </si>
  <si>
    <t xml:space="preserve">Ulipika milo gani jana? Jibu zote, mfano 1,3: 1=Asubuhi 2=Mchana 3=Jioni 4=Sikupika</t>
  </si>
  <si>
    <t xml:space="preserve">1-4, comma separated</t>
  </si>
  <si>
    <t xml:space="preserve">Meal pattern: is there a midday meal to shift?</t>
  </si>
  <si>
    <t xml:space="preserve">B15</t>
  </si>
  <si>
    <t xml:space="preserve">meal_biggest</t>
  </si>
  <si>
    <t xml:space="preserve">Which is the biggest meal cooked in your home? 1=Breakfast 2=Lunch 3=Supper</t>
  </si>
  <si>
    <t xml:space="preserve">Mlo mkubwa nyumbani kwako ni upi? 1=Wa asubuhi 2=Wa mchana 3=Wa jioni</t>
  </si>
  <si>
    <t xml:space="preserve">Where the energy goes; supper-dominant homes are hardest to shift</t>
  </si>
  <si>
    <t xml:space="preserve">B16</t>
  </si>
  <si>
    <t xml:space="preserve">longboil_freq</t>
  </si>
  <si>
    <t xml:space="preserve">How often do you cook githeri, beans or other foods that boil for long? 1=Most days 2=1-3 times a week 3=Rarely 4=Never</t>
  </si>
  <si>
    <t xml:space="preserve">Unapika githeri, maharagwe au vyakula vya kuchemshwa muda mrefu mara ngapi? 1=Karibu kila siku 2=Mara 1-3 kwa wiki 3=Mara chache 4=Kamwe</t>
  </si>
  <si>
    <t xml:space="preserve">Long-boil dishes are the EPC sweet spot and biggest fuel saving</t>
  </si>
  <si>
    <t xml:space="preserve">Target EPC promotion at frequent long-boil cooks</t>
  </si>
  <si>
    <t xml:space="preserve">S3 Day 5</t>
  </si>
  <si>
    <t xml:space="preserve">B17</t>
  </si>
  <si>
    <t xml:space="preserve">time_driver</t>
  </si>
  <si>
    <t xml:space="preserve">What most decides WHAT TIME you cook? 1=Farm or work hours 2=When family is home 3=When fuel or stove is ready 4=Habit 5=Other</t>
  </si>
  <si>
    <t xml:space="preserve">Nini huamua zaidi WAKATI unapopika? 1=Kazi au shamba 2=Familia wakiwa nyumbani 3=Nishati au jiko tayari 4=Mazoea 5=Nyingine</t>
  </si>
  <si>
    <t xml:space="preserve">Timing motivation (core objective)</t>
  </si>
  <si>
    <t xml:space="preserve">B18</t>
  </si>
  <si>
    <t xml:space="preserve">midday_freq</t>
  </si>
  <si>
    <t xml:space="preserve">Do you cook anything between 10am and 3pm? 1=Most days 2=Some days 3=Rarely or never</t>
  </si>
  <si>
    <t xml:space="preserve">Je, unapika chochote kati ya 10am na 3pm (saa 4 - saa 9 mchana)? 1=Siku nyingi 2=Siku zingine 3=Mara chache</t>
  </si>
  <si>
    <t xml:space="preserve">Self-reported daytime cooking; validate against meter data</t>
  </si>
  <si>
    <t xml:space="preserve">B19</t>
  </si>
  <si>
    <t xml:space="preserve">midday_barrier</t>
  </si>
  <si>
    <t xml:space="preserve">Main reason you do not cook more at midday? 1=Away at farm or market 2=Main meal is at night 3=No one home then 4=Cost of units 5=Other</t>
  </si>
  <si>
    <t xml:space="preserve">Sababu kuu ya kutopika zaidi mchana? 1=Niko shambani au sokoni 2=Chakula kikuu ni cha jioni 3=Hakuna mtu nyumbani 4=Gharama ya units 5=Nyingine</t>
  </si>
  <si>
    <t xml:space="preserve">Daytime barrier (core objective)</t>
  </si>
  <si>
    <t xml:space="preserve">B20</t>
  </si>
  <si>
    <t xml:space="preserve">ecook_barrier</t>
  </si>
  <si>
    <t xml:space="preserve">What most stops you cooking with electricity? 1=Cost of units 2=Fear of the appliance 3=Food taste 4=Appliance broken or too small 5=Power cuts</t>
  </si>
  <si>
    <t xml:space="preserve">Nini kinakuzuia zaidi kupika kwa umeme? 1=Gharama ya units 2=Hofu ya kifaa 3=Ladha ya chakula 4=Kifaa ni kibovu au kidogo 5=Umeme kukatika</t>
  </si>
  <si>
    <t xml:space="preserve">eCooking barrier (core objective)</t>
  </si>
  <si>
    <t xml:space="preserve">B21</t>
  </si>
  <si>
    <t xml:space="preserve">free_units_intent</t>
  </si>
  <si>
    <t xml:space="preserve">If you got FREE units usable only 10am-3pm, would you cook lunch with electricity? 1=Yes 2=Maybe 3=No</t>
  </si>
  <si>
    <t xml:space="preserve">Ukipata units za BURE za kutumia 10am-3pm tu, ungepika chakula cha mchana kwa umeme? 1=Ndiyo 2=Labda 3=Hapana</t>
  </si>
  <si>
    <t xml:space="preserve">Stated response to the core incentive; compare with revealed behaviour</t>
  </si>
  <si>
    <t xml:space="preserve">B22</t>
  </si>
  <si>
    <t xml:space="preserve">freed_time_use</t>
  </si>
  <si>
    <t xml:space="preserve">If cooking took 2 hours less each day, what would you do with that time? 1=Farming 2=Small business like sewing or selling 3=Childcare 4=Rest 5=Study</t>
  </si>
  <si>
    <t xml:space="preserve">Kama kupika kungechukua saa 2 pungufu kwa siku, ungefanya nini na muda huo? 1=Kilimo 2=Biashara ndogo kama kushona au kuuza 3=Kulea watoto 4=Kupumzika 5=Kusoma</t>
  </si>
  <si>
    <t xml:space="preserve">Freed-time economic potential (core objective)</t>
  </si>
  <si>
    <t xml:space="preserve">B23</t>
  </si>
  <si>
    <t xml:space="preserve">income_interest</t>
  </si>
  <si>
    <t xml:space="preserve">If you had more free time, would you start or grow an activity that earns money? 1=Yes, very much 2=Maybe 3=No</t>
  </si>
  <si>
    <t xml:space="preserve">Ukipata muda zaidi, ungeanzisha au kukuza shughuli ya kipato? 1=Ndiyo, sana 2=Labda 3=Hapana</t>
  </si>
  <si>
    <t xml:space="preserve">Appetite for productive use of freed time &amp; electricity</t>
  </si>
  <si>
    <t xml:space="preserve">B24</t>
  </si>
  <si>
    <t xml:space="preserve">sms_time_pref</t>
  </si>
  <si>
    <t xml:space="preserve">What time is best to send you these questions? 1=Morning 2=Midday 3=Evening</t>
  </si>
  <si>
    <t xml:space="preserve">Wakati gani ni mzuri kukutumia maswali haya? 1=Asubuhi 2=Mchana 3=Jioni</t>
  </si>
  <si>
    <t xml:space="preserve">Maximise response rates</t>
  </si>
  <si>
    <t xml:space="preserve">Drives per-household send scheduling</t>
  </si>
  <si>
    <t xml:space="preserve">Anchor, every week</t>
  </si>
  <si>
    <t xml:space="preserve">W1</t>
  </si>
  <si>
    <t xml:space="preserve">w_fuels_yday</t>
  </si>
  <si>
    <t xml:space="preserve">Yesterday, which did you use to cook? Reply all, e.g. 1,4: 1=Firewood 2=Charcoal 3=LPG gas 4=Electricity 5=Did not cook</t>
  </si>
  <si>
    <t xml:space="preserve">Jana ulitumia nini kupika? Jibu zote, mfano 1,4: 1=Kuni 2=Makaa 3=Gesi 4=Umeme 5=Sikupika</t>
  </si>
  <si>
    <t xml:space="preserve">Fuel stack trend; day-recall reduces bias</t>
  </si>
  <si>
    <t xml:space="preserve">Anchor question: identical wording every week</t>
  </si>
  <si>
    <t xml:space="preserve">W2</t>
  </si>
  <si>
    <t xml:space="preserve">w_midday_cooked</t>
  </si>
  <si>
    <t xml:space="preserve">Did you cook anything between 10am and 3pm yesterday? 1=Yes 2=No</t>
  </si>
  <si>
    <t xml:space="preserve">Ulipika chochote kati ya 10am na 3pm jana? 1=Ndiyo 2=Hapana</t>
  </si>
  <si>
    <t xml:space="preserve">If 2: send W3</t>
  </si>
  <si>
    <t xml:space="preserve">Daytime cooking trend; validate against meter</t>
  </si>
  <si>
    <t xml:space="preserve">Anchor question</t>
  </si>
  <si>
    <t xml:space="preserve">Conditional on W2=No</t>
  </si>
  <si>
    <t xml:space="preserve">W3</t>
  </si>
  <si>
    <t xml:space="preserve">w_midday_barrier</t>
  </si>
  <si>
    <t xml:space="preserve">What stopped you cooking at midday yesterday? 1=Away from home 2=No meal needed then 3=Units finished 4=Power problem 5=Other</t>
  </si>
  <si>
    <t xml:space="preserve">Nini kilikuzuia kupika mchana jana? 1=Sikuwa nyumbani 2=Sikuhitaji mlo 3=Units ziliisha 4=Shida ya umeme 5=Nyingine</t>
  </si>
  <si>
    <t xml:space="preserve">Only if W2=2</t>
  </si>
  <si>
    <t xml:space="preserve">Time-varying daytime barriers</t>
  </si>
  <si>
    <t xml:space="preserve">Rotating</t>
  </si>
  <si>
    <t xml:space="preserve">W4</t>
  </si>
  <si>
    <t xml:space="preserve">w_appliance_use</t>
  </si>
  <si>
    <t xml:space="preserve">Did you use the EPC or electric hob in the past 7 days? 1=Both 2=EPC only 3=Hob only 4=Neither</t>
  </si>
  <si>
    <t xml:space="preserve">Ulitumia EPC au jiko la umeme siku 7 zilizopita? 1=Vyote viwili 2=EPC tu 3=Jiko la sahani tu 4=Hakuna</t>
  </si>
  <si>
    <t xml:space="preserve">Skip if B7=3 and B8=3. If 4: skip W5</t>
  </si>
  <si>
    <t xml:space="preserve">Appliance usage split</t>
  </si>
  <si>
    <t xml:space="preserve">Conditional on W4=1-3</t>
  </si>
  <si>
    <t xml:space="preserve">W5</t>
  </si>
  <si>
    <t xml:space="preserve">w_edish</t>
  </si>
  <si>
    <t xml:space="preserve">What did you cook with electricity this week? Reply all: 1=Ugali 2=Githeri or beans 3=Rice 4=Tea or hot water 5=Other</t>
  </si>
  <si>
    <t xml:space="preserve">Ulipika nini kwa umeme wiki hii? Jibu zote: 1=Ugali 2=Githeri au maharagwe 3=Wali 4=Chai au maji moto 5=Nyingine</t>
  </si>
  <si>
    <t xml:space="preserve">Only if W4 in 1-3</t>
  </si>
  <si>
    <t xml:space="preserve">Dish adoption: which foods migrate to electricity first</t>
  </si>
  <si>
    <t xml:space="preserve">W6</t>
  </si>
  <si>
    <t xml:space="preserve">w_problem</t>
  </si>
  <si>
    <t xml:space="preserve">Any problem cooking with electricity this week? 1=No problem 2=Power cut 3=Appliance problem 4=Units ran out 5=Other</t>
  </si>
  <si>
    <t xml:space="preserve">Ulipata shida kupika kwa umeme wiki hii? 1=Hakuna shida 2=Umeme ulikatika 3=Shida ya kifaa 4=Units ziliisha 5=Nyingine</t>
  </si>
  <si>
    <t xml:space="preserve">Skip if B7=3 and B8=3</t>
  </si>
  <si>
    <t xml:space="preserve">Service quality; reliability perception</t>
  </si>
  <si>
    <t xml:space="preserve">Route 2/3 to operations team for follow-up</t>
  </si>
  <si>
    <t xml:space="preserve">W7</t>
  </si>
  <si>
    <t xml:space="preserve">w_bonus_effect</t>
  </si>
  <si>
    <t xml:space="preserve">Did your free bonus units help you cook in the daytime this week? 1=Yes 2=A little 3=No 4=I did not get units</t>
  </si>
  <si>
    <t xml:space="preserve">Units za bure zilikusaidia kupika mchana wiki hii? 1=Ndiyo 2=Kidogo 3=Hapana 4=Sikupata units</t>
  </si>
  <si>
    <t xml:space="preserve">Perceived incentive effect; cross-check credit delivery</t>
  </si>
  <si>
    <t xml:space="preserve">Option 4 flags reward delivery failures</t>
  </si>
  <si>
    <t xml:space="preserve">W8</t>
  </si>
  <si>
    <t xml:space="preserve">w_who_cooked</t>
  </si>
  <si>
    <t xml:space="preserve">Who cooked most meals in your home this week? 1=Me 2=Another adult 3=A child 4=We shared</t>
  </si>
  <si>
    <t xml:space="preserve">Nani alipika milo mingi nyumbani wiki hii? 1=Mimi 2=Mtu mzima mwingine 3=Mtoto 4=Tulishirikiana</t>
  </si>
  <si>
    <t xml:space="preserve">Household changes in who cooks; proxy-reporting check</t>
  </si>
  <si>
    <t xml:space="preserve">Every month</t>
  </si>
  <si>
    <t xml:space="preserve">M1</t>
  </si>
  <si>
    <t xml:space="preserve">m_spend_biomass</t>
  </si>
  <si>
    <t xml:space="preserve">In the last 30 days, how much did your home spend on charcoal and firewood? 1=Nothing 2=Under 200 3=200-500 4=501-1000 5=Over 1000 (KSh)</t>
  </si>
  <si>
    <t xml:space="preserve">Siku 30 zilizopita, mlitumia pesa ngapi kwa makaa na kuni? 1=Hakuna 2=Chini ya 200 3=200-500 4=501-1000 5=Zaidi ya 1000 (KSh)</t>
  </si>
  <si>
    <t xml:space="preserve">Biomass spend trend: substitution evidence</t>
  </si>
  <si>
    <t xml:space="preserve">M2</t>
  </si>
  <si>
    <t xml:space="preserve">m_spend_lpg</t>
  </si>
  <si>
    <t xml:space="preserve">In the last 30 days, how much on LPG gas and kerosene? 1=Nothing 2=Under 200 3=200-500 4=501-1000 5=Over 1000 (KSh)</t>
  </si>
  <si>
    <t xml:space="preserve">Siku 30 zilizopita, mlitumia pesa ngapi kwa gesi na mafuta ya taa? 1=Hakuna 2=Chini ya 200 3=200-500 4=501-1000 5=Zaidi ya 1000 (KSh)</t>
  </si>
  <si>
    <t xml:space="preserve">LPG/kerosene spend trend</t>
  </si>
  <si>
    <t xml:space="preserve">M3</t>
  </si>
  <si>
    <t xml:space="preserve">m_wood_hours</t>
  </si>
  <si>
    <t xml:space="preserve">Firewood time trend (same bands as B13)</t>
  </si>
  <si>
    <t xml:space="preserve">Identical wording to B13 for comparability</t>
  </si>
  <si>
    <t xml:space="preserve">M4</t>
  </si>
  <si>
    <t xml:space="preserve">m_satisfaction</t>
  </si>
  <si>
    <t xml:space="preserve">How happy are you with cooking on electricity? 1=Very happy 2=Happy 3=In the middle 4=Unhappy 5=I have not tried</t>
  </si>
  <si>
    <t xml:space="preserve">Umeridhika kiasi gani kupika kwa umeme? 1=Nimefurahi sana 2=Nimefurahi 3=Wastani 4=Sijaridhika 5=Sijajaribu</t>
  </si>
  <si>
    <t xml:space="preserve">Satisfaction trend; churn early-warning</t>
  </si>
  <si>
    <t xml:space="preserve">Alternate months</t>
  </si>
  <si>
    <t xml:space="preserve">M5</t>
  </si>
  <si>
    <t xml:space="preserve">m_taste</t>
  </si>
  <si>
    <t xml:space="preserve">Food cooked in the EPC tastes: 1=Better than usual 2=Same 3=Worse 4=I have not tried</t>
  </si>
  <si>
    <t xml:space="preserve">Chakula kilichopikwa kwa EPC ladha yake ni: 1=Nzuri zaidi 2=Sawa na kawaida 3=Mbaya zaidi 4=Sijajaribu</t>
  </si>
  <si>
    <t xml:space="preserve">Skip if B7=3</t>
  </si>
  <si>
    <t xml:space="preserve">Taste acceptance: a top eCooking adoption barrier</t>
  </si>
  <si>
    <t xml:space="preserve">Rotates with M6b</t>
  </si>
  <si>
    <t xml:space="preserve">M6a</t>
  </si>
  <si>
    <t xml:space="preserve">m_incentive_pref</t>
  </si>
  <si>
    <t xml:space="preserve">Which ONE would most help you cook at midday? 1=More free units 10am-3pm 2=Half-price units at midday 3=Free units anytime 4=Airtime bonus</t>
  </si>
  <si>
    <t xml:space="preserve">Nini kingekusaidia ZAIDI kupika mchana? 1=Units zaidi za bure 10am-3pm 2=Bei nusu mchana 3=Units za bure wakati wowote 4=Bonasi ya airtime</t>
  </si>
  <si>
    <t xml:space="preserve">Incentive preference (core objective)</t>
  </si>
  <si>
    <t xml:space="preserve">Rotate option order across households to control order bias</t>
  </si>
  <si>
    <t xml:space="preserve">Rotates with M6a</t>
  </si>
  <si>
    <t xml:space="preserve">M6b</t>
  </si>
  <si>
    <t xml:space="preserve">m_price_response</t>
  </si>
  <si>
    <t xml:space="preserve">Would you cook lunch with electricity if midday units cost HALF price? 1=Yes, daily 2=Some days 3=No</t>
  </si>
  <si>
    <t xml:space="preserve">Ungepika chakula cha mchana kwa umeme kama units za mchana zingekuwa bei NUSU? 1=Ndiyo, kila siku 2=Siku zingine 3=Hapana</t>
  </si>
  <si>
    <t xml:space="preserve">Stated price elasticity for time-of-use discount</t>
  </si>
  <si>
    <t xml:space="preserve">M7</t>
  </si>
  <si>
    <t xml:space="preserve">m_time_use</t>
  </si>
  <si>
    <t xml:space="preserve">This month, did cooking with electricity save you time for anything new? 1=Farming 2=Business or earning 3=Family time 4=Rest 5=No time saved</t>
  </si>
  <si>
    <t xml:space="preserve">Mwezi huu, kupika kwa umeme kulikupa muda wa jambo jipya? 1=Kilimo 2=Biashara au kipato 3=Muda na familia 4=Kupumzika 5=Hakuna muda</t>
  </si>
  <si>
    <t xml:space="preserve">Realised time reallocation (vs B22 aspiration)</t>
  </si>
  <si>
    <t xml:space="preserve">M8</t>
  </si>
  <si>
    <t xml:space="preserve">m_appliance_wish</t>
  </si>
  <si>
    <t xml:space="preserve">Which would you most like to use MORE at home? 1=EPC 2=Electric kettle 3=Fridge 4=Iron 5=TV or radio</t>
  </si>
  <si>
    <t xml:space="preserve">Ungependa kutumia nini ZAIDI nyumbani? 1=EPC 2=Birika la umeme 3=Friji 4=Pasi 5=TV au redio</t>
  </si>
  <si>
    <t xml:space="preserve">Latent appliance demand: future daytime load</t>
  </si>
  <si>
    <t xml:space="preserve">Months 3,6,9,12</t>
  </si>
  <si>
    <t xml:space="preserve">Q1</t>
  </si>
  <si>
    <t xml:space="preserve">q_hh_change</t>
  </si>
  <si>
    <t xml:space="preserve">In the last 3 months, has the number of people in your home changed? 1=More people 2=Same 3=Fewer people</t>
  </si>
  <si>
    <t xml:space="preserve">Miezi 3 iliyopita, idadi ya watu nyumbani imebadilika? 1=Wameongezeka 2=Ni sawa 3=Wamepungua</t>
  </si>
  <si>
    <t xml:space="preserve">If 1 or 3: re-ask B1 next session</t>
  </si>
  <si>
    <t xml:space="preserve">Household composition changes (core objective)</t>
  </si>
  <si>
    <t xml:space="preserve">Q2</t>
  </si>
  <si>
    <t xml:space="preserve">q_new_activity</t>
  </si>
  <si>
    <t xml:space="preserve">Have you started any new money-earning activity in the last 3 months? 1=Yes 2=No</t>
  </si>
  <si>
    <t xml:space="preserve">Umeanzisha shughuli mpya ya kipato miezi 3 iliyopita? 1=Ndiyo 2=Hapana</t>
  </si>
  <si>
    <t xml:space="preserve">If 1: send Q3</t>
  </si>
  <si>
    <t xml:space="preserve">New economic activity (freed-time outcome)</t>
  </si>
  <si>
    <t xml:space="preserve">Conditional on Q2=Yes</t>
  </si>
  <si>
    <t xml:space="preserve">Q3</t>
  </si>
  <si>
    <t xml:space="preserve">q_activity_type</t>
  </si>
  <si>
    <t xml:space="preserve">What kind of activity? 1=Tailoring or sewing 2=Selling food or produce 3=Shop or kiosk 4=Farming for sale 5=Other</t>
  </si>
  <si>
    <t xml:space="preserve">Shughuli ya aina gani? 1=Kushona nguo 2=Kuuza chakula au mazao 3=Duka au kiosk 4=Kilimo cha kuuza 5=Nyingine</t>
  </si>
  <si>
    <t xml:space="preserve">Only if Q2=1</t>
  </si>
  <si>
    <t xml:space="preserve">Type of productive activity; possible daytime electric load</t>
  </si>
  <si>
    <t xml:space="preserve">Q4</t>
  </si>
  <si>
    <t xml:space="preserve">q_wood_season</t>
  </si>
  <si>
    <t xml:space="preserve">Right now, is firewood harder or easier to find than 3 months ago? 1=Harder 2=Same 3=Easier</t>
  </si>
  <si>
    <t xml:space="preserve">Kwa sasa, kuni ni ngumu au rahisi kupata kuliko miezi 3 iliyopita? 1=Ngumu zaidi 2=Sawa 3=Rahisi zaidi</t>
  </si>
  <si>
    <t xml:space="preserve">Seasonality of biomass availability; interpret fuel-stack trends</t>
  </si>
  <si>
    <t xml:space="preserve">Q5</t>
  </si>
  <si>
    <t xml:space="preserve">q_wtp_lunch</t>
  </si>
  <si>
    <t xml:space="preserve">How much would you pay for the units to cook lunch for your family in the EPC? 1=Nothing 2=Under 10 3=10-20 4=21-40 5=Over 40 (KSh)</t>
  </si>
  <si>
    <t xml:space="preserve">Ungelipa pesa ngapi kwa units za kupika chakula cha mchana kwa EPC? 1=Hakuna 2=Chini ya 10 3=10-20 4=21-40 5=Zaidi ya 40 (KSh)</t>
  </si>
  <si>
    <t xml:space="preserve">Willingness to pay: prices the post-subsidy tariff</t>
  </si>
  <si>
    <t xml:space="preserve">An EPC lunch is roughly 0.3-0.5 kWh</t>
  </si>
  <si>
    <t xml:space="preserve">Q6</t>
  </si>
  <si>
    <t xml:space="preserve">q_open_feedback</t>
  </si>
  <si>
    <t xml:space="preserve">open</t>
  </si>
  <si>
    <t xml:space="preserve">What ONE thing would make you cook with electricity more? Reply in your own words. Asante!</t>
  </si>
  <si>
    <t xml:space="preserve">Ni jambo gani MOJA lingekufanya upike kwa umeme zaidi? Jibu kwa maneno yako. Asante!</t>
  </si>
  <si>
    <t xml:space="preserve">Free text</t>
  </si>
  <si>
    <t xml:space="preserve">Open barrier discovery; quotes for design workshops</t>
  </si>
  <si>
    <t xml:space="preserve">Code responses thematically each quarter</t>
  </si>
  <si>
    <t xml:space="preserve">After C1=3</t>
  </si>
  <si>
    <t xml:space="preserve">SYS_PASS</t>
  </si>
  <si>
    <t xml:space="preserve">Please ask the person who cooks most meals to answer the next questions, if possible.</t>
  </si>
  <si>
    <t xml:space="preserve">Tafadhali mwombe anayepika mara nyingi ajibu maswali yajayo, ikiwezekana.</t>
  </si>
  <si>
    <t xml:space="preserve">Sent once when respondent is not the main cook</t>
  </si>
  <si>
    <t xml:space="preserve">On unparseable reply</t>
  </si>
  <si>
    <t xml:space="preserve">SYS_INVALID</t>
  </si>
  <si>
    <t xml:space="preserve">Sorry, we did not understand. Please reply with the number of your answer, e.g. 2</t>
  </si>
  <si>
    <t xml:space="preserve">Samahani, hatukuelewa. Tafadhali jibu kwa namba ya jibu lako, mfano 2</t>
  </si>
  <si>
    <t xml:space="preserve">Send once, then accept and move on; log the raw reply</t>
  </si>
  <si>
    <t xml:space="preserve">24h after no reply</t>
  </si>
  <si>
    <t xml:space="preserve">SYS_REMIND</t>
  </si>
  <si>
    <t xml:space="preserve">Yesterday's questions are waiting. Reply now to earn your free units!</t>
  </si>
  <si>
    <t xml:space="preserve">Maswali ya jana yanakusubiri. Jibu sasa upate units zako za bure!</t>
  </si>
  <si>
    <t xml:space="preserve">One reminder only; close survey window at 48h</t>
  </si>
  <si>
    <t xml:space="preserve">On completion</t>
  </si>
  <si>
    <t xml:space="preserve">SYS_REWARD</t>
  </si>
  <si>
    <t xml:space="preserve">Asante! You earned [X] FREE units valid [day] 10am-3pm. Try cooking lunch on your EPC or hob!</t>
  </si>
  <si>
    <t xml:space="preserve">Asante! Umepata units [X] za BURE zinazotumika [siku] 10am-3pm. Jaribu kupika chakula cha mchana kwa EPC au jiko lako!</t>
  </si>
  <si>
    <t xml:space="preserve">Reward message doubles as a daytime cooking nudge</t>
  </si>
  <si>
    <t xml:space="preserve">On STOP/ACHA</t>
  </si>
  <si>
    <t xml:space="preserve">SYS_OPTOUT</t>
  </si>
  <si>
    <t xml:space="preserve">You have left the survey. No more questions will be sent. Thank you!</t>
  </si>
  <si>
    <t xml:space="preserve">Umeondoka kwenye utafiti. Hutatumiwa maswali tena. Asante!</t>
  </si>
  <si>
    <t xml:space="preserve">Honour immediately; retain consent log per DPA 2019</t>
  </si>
  <si>
    <t xml:space="preserve">Survey calendar</t>
  </si>
  <si>
    <t xml:space="preserve">When</t>
  </si>
  <si>
    <t xml:space="preserve">What is sent</t>
  </si>
  <si>
    <t xml:space="preserve">Max Qs</t>
  </si>
  <si>
    <t xml:space="preserve">Reward on completion</t>
  </si>
  <si>
    <t xml:space="preserve">Day 0 (enrolment)</t>
  </si>
  <si>
    <t xml:space="preserve">Language, consent, welcome, respondent check</t>
  </si>
  <si>
    <t xml:space="preserve">S0, S1, S2, C1</t>
  </si>
  <si>
    <t xml:space="preserve">0.5 kWh welcome credit</t>
  </si>
  <si>
    <t xml:space="preserve">Day 1</t>
  </si>
  <si>
    <t xml:space="preserve">Baseline session 1 - household</t>
  </si>
  <si>
    <t xml:space="preserve">B1-B6</t>
  </si>
  <si>
    <t xml:space="preserve">Day 3</t>
  </si>
  <si>
    <t xml:space="preserve">Baseline session 2 - cooking &amp; fuels</t>
  </si>
  <si>
    <t xml:space="preserve">B7-B16</t>
  </si>
  <si>
    <t xml:space="preserve">Day 5</t>
  </si>
  <si>
    <t xml:space="preserve">Baseline session 3 - timing, barriers, aspirations</t>
  </si>
  <si>
    <t xml:space="preserve">B17-B24</t>
  </si>
  <si>
    <t xml:space="preserve">Every week (wk 1-3 of month)</t>
  </si>
  <si>
    <t xml:space="preserve">Weekly pulse: 2 anchors + 2 rotating</t>
  </si>
  <si>
    <t xml:space="preserve">W1, W2 (+W3 if needed) + 2 of W4-W8</t>
  </si>
  <si>
    <t xml:space="preserve">0.4 kWh</t>
  </si>
  <si>
    <t xml:space="preserve">Week 4 of month</t>
  </si>
  <si>
    <t xml:space="preserve">Monthly module (replaces pulse)</t>
  </si>
  <si>
    <t xml:space="preserve">M1-M4 + M6a or M6b + M7 (+M5/M8 alternating)</t>
  </si>
  <si>
    <t xml:space="preserve">Months 3, 6, 9, 12</t>
  </si>
  <si>
    <t xml:space="preserve">Quarterly module (replaces monthly extras)</t>
  </si>
  <si>
    <t xml:space="preserve">M1-M4 + Q1-Q6</t>
  </si>
  <si>
    <t xml:space="preserve">Month 12</t>
  </si>
  <si>
    <t xml:space="preserve">Re-baseline</t>
  </si>
  <si>
    <t xml:space="preserve">B7-B23 repeated</t>
  </si>
  <si>
    <t xml:space="preserve">2.0 kWh</t>
  </si>
  <si>
    <t xml:space="preserve">Weekly rotation (repeats every 4 weeks)</t>
  </si>
  <si>
    <t xml:space="preserve">Week of month</t>
  </si>
  <si>
    <t xml:space="preserve">Anchors</t>
  </si>
  <si>
    <t xml:space="preserve">Rotating slot 1</t>
  </si>
  <si>
    <t xml:space="preserve">Rotating slot 2</t>
  </si>
  <si>
    <t xml:space="preserve">Conditional</t>
  </si>
  <si>
    <t xml:space="preserve">Week 1</t>
  </si>
  <si>
    <t xml:space="preserve">W1, W2</t>
  </si>
  <si>
    <t xml:space="preserve">W4 appliance use</t>
  </si>
  <si>
    <t xml:space="preserve">W5 dishes cooked</t>
  </si>
  <si>
    <t xml:space="preserve">W3 if W2=No; W5 only if W4=1-3</t>
  </si>
  <si>
    <t xml:space="preserve">Week 2</t>
  </si>
  <si>
    <t xml:space="preserve">W6 problems</t>
  </si>
  <si>
    <t xml:space="preserve">W7 bonus-unit effect</t>
  </si>
  <si>
    <t xml:space="preserve">W3 if W2=No</t>
  </si>
  <si>
    <t xml:space="preserve">Week 3</t>
  </si>
  <si>
    <t xml:space="preserve">W8 who cooked</t>
  </si>
  <si>
    <t xml:space="preserve">Week 4</t>
  </si>
  <si>
    <t xml:space="preserve">Monthly module runs instead</t>
  </si>
  <si>
    <t xml:space="preserve">Operating rules</t>
  </si>
  <si>
    <t xml:space="preserve">- Send at each household's preferred time (B24). Default 7pm if unanswered.</t>
  </si>
  <si>
    <t xml:space="preserve">- Response window 48h. One reminder (SYS_REMIND) at 24h. Credit only on full completion.</t>
  </si>
  <si>
    <t xml:space="preserve">- Unparseable reply: send SYS_INVALID once, accept next reply, log raw text.</t>
  </si>
  <si>
    <t xml:space="preserve">- 3 consecutive missed weekly surveys: pause weekly, keep monthly, send re-engagement message.</t>
  </si>
  <si>
    <t xml:space="preserve">- STOP or ACHA at any time: confirm with SYS_OPTOUT, cease all sends, keep consent log.</t>
  </si>
  <si>
    <t xml:space="preserve">- Never send more than one survey session per day, and none on Sundays.</t>
  </si>
  <si>
    <t xml:space="preserve">Reward sizing and credit-window experiment</t>
  </si>
  <si>
    <t xml:space="preserve">Assumptions (edit blue cells)</t>
  </si>
  <si>
    <t xml:space="preserve">Tariff (KSh per kWh)</t>
  </si>
  <si>
    <t xml:space="preserve">Energy for one EPC meal (kWh)</t>
  </si>
  <si>
    <t xml:space="preserve">Daytime window start</t>
  </si>
  <si>
    <t xml:space="preserve">10:00</t>
  </si>
  <si>
    <t xml:space="preserve">Daytime window end</t>
  </si>
  <si>
    <t xml:space="preserve">15:00</t>
  </si>
  <si>
    <t xml:space="preserve">Reward schedule</t>
  </si>
  <si>
    <t xml:space="preserve">Survey</t>
  </si>
  <si>
    <t xml:space="preserve">Reward (kWh)</t>
  </si>
  <si>
    <t xml:space="preserve">Cost (KSh)</t>
  </si>
  <si>
    <t xml:space="preserve">EPC meals equivalent</t>
  </si>
  <si>
    <t xml:space="preserve">Enrolment welcome</t>
  </si>
  <si>
    <t xml:space="preserve">Baseline session (x3)</t>
  </si>
  <si>
    <t xml:space="preserve">4-week streak bonus</t>
  </si>
  <si>
    <t xml:space="preserve">Re-baseline (month 12)</t>
  </si>
  <si>
    <t xml:space="preserve">Principle: the weekly reward should equal roughly one EPC meal, so trying electric cooking at midday costs nothing.</t>
  </si>
  <si>
    <t xml:space="preserve">Randomised credit-window arms</t>
  </si>
  <si>
    <t xml:space="preserve">Arm</t>
  </si>
  <si>
    <t xml:space="preserve">Credit validity</t>
  </si>
  <si>
    <t xml:space="preserve">Share of households</t>
  </si>
  <si>
    <t xml:space="preserve">What it tests</t>
  </si>
  <si>
    <t xml:space="preserve">A</t>
  </si>
  <si>
    <t xml:space="preserve">Daytime only (10am-3pm)</t>
  </si>
  <si>
    <t xml:space="preserve">40%</t>
  </si>
  <si>
    <t xml:space="preserve">Does a time-limited credit shift cooking into the solar window?</t>
  </si>
  <si>
    <t xml:space="preserve">B</t>
  </si>
  <si>
    <t xml:space="preserve">Anytime (control)</t>
  </si>
  <si>
    <t xml:space="preserve">Reward effect without any time constraint</t>
  </si>
  <si>
    <t xml:space="preserve">C</t>
  </si>
  <si>
    <t xml:space="preserve">Daytime only, double value</t>
  </si>
  <si>
    <t xml:space="preserve">20%</t>
  </si>
  <si>
    <t xml:space="preserve">Dose response: is a bigger daytime credit more effective?</t>
  </si>
  <si>
    <t xml:space="preserve">Randomise at household level, stratified by village and EPC ownership (B7). Because every completed survey earns a credit, the credit window itself must be randomised - otherwise the survey reward and the daytime nudge are confounded. Outcome = daytime share of household kWh from the smart meters.</t>
  </si>
  <si>
    <t xml:space="preserve">Value</t>
  </si>
  <si>
    <t xml:space="preserve">Label (English)</t>
  </si>
  <si>
    <t xml:space="preserve">Label (Kiswahili)</t>
  </si>
  <si>
    <t xml:space="preserve">Kiswahili</t>
  </si>
  <si>
    <t xml:space="preserve">English</t>
  </si>
  <si>
    <t xml:space="preserve">YES</t>
  </si>
  <si>
    <t xml:space="preserve">NDIYO</t>
  </si>
  <si>
    <t xml:space="preserve">NO</t>
  </si>
  <si>
    <t xml:space="preserve">HAPANA</t>
  </si>
  <si>
    <t xml:space="preserve">Yes</t>
  </si>
  <si>
    <t xml:space="preserve">Ndiyo</t>
  </si>
  <si>
    <t xml:space="preserve">I cook sometimes</t>
  </si>
  <si>
    <t xml:space="preserve">Napika mara kwa mara tu</t>
  </si>
  <si>
    <t xml:space="preserve">I rarely cook</t>
  </si>
  <si>
    <t xml:space="preserve">Sipiki sana</t>
  </si>
  <si>
    <t xml:space="preserve">Number (1-30)</t>
  </si>
  <si>
    <t xml:space="preserve">Number (0-15)</t>
  </si>
  <si>
    <t xml:space="preserve">Mine</t>
  </si>
  <si>
    <t xml:space="preserve">Yangu</t>
  </si>
  <si>
    <t xml:space="preserve">My spouse's</t>
  </si>
  <si>
    <t xml:space="preserve">Ya mke/mume wangu</t>
  </si>
  <si>
    <t xml:space="preserve">Shared family phone</t>
  </si>
  <si>
    <t xml:space="preserve">Ya familia</t>
  </si>
  <si>
    <t xml:space="preserve">Other</t>
  </si>
  <si>
    <t xml:space="preserve">Nyingine</t>
  </si>
  <si>
    <t xml:space="preserve">Farming</t>
  </si>
  <si>
    <t xml:space="preserve">Kilimo</t>
  </si>
  <si>
    <t xml:space="preserve">Own business</t>
  </si>
  <si>
    <t xml:space="preserve">Biashara</t>
  </si>
  <si>
    <t xml:space="preserve">Casual work</t>
  </si>
  <si>
    <t xml:space="preserve">Vibarua</t>
  </si>
  <si>
    <t xml:space="preserve">Salary</t>
  </si>
  <si>
    <t xml:space="preserve">Mshahara</t>
  </si>
  <si>
    <t xml:space="preserve">Me</t>
  </si>
  <si>
    <t xml:space="preserve">Mimi</t>
  </si>
  <si>
    <t xml:space="preserve">My spouse</t>
  </si>
  <si>
    <t xml:space="preserve">Mke/mume wangu</t>
  </si>
  <si>
    <t xml:space="preserve">We decide together</t>
  </si>
  <si>
    <t xml:space="preserve">Tunaamua pamoja</t>
  </si>
  <si>
    <t xml:space="preserve">Someone else</t>
  </si>
  <si>
    <t xml:space="preserve">Mtu mwingine</t>
  </si>
  <si>
    <t xml:space="preserve">Yes, most days</t>
  </si>
  <si>
    <t xml:space="preserve">Ndiyo siku nyingi</t>
  </si>
  <si>
    <t xml:space="preserve">Some days</t>
  </si>
  <si>
    <t xml:space="preserve">Siku zingine</t>
  </si>
  <si>
    <t xml:space="preserve">Rarely</t>
  </si>
  <si>
    <t xml:space="preserve">Mara chache</t>
  </si>
  <si>
    <t xml:space="preserve">Yes, working</t>
  </si>
  <si>
    <t xml:space="preserve">Ndiyo, linafanya kazi</t>
  </si>
  <si>
    <t xml:space="preserve">Yes, but broken</t>
  </si>
  <si>
    <t xml:space="preserve">Ndiyo, lakini ni bovu</t>
  </si>
  <si>
    <t xml:space="preserve">No</t>
  </si>
  <si>
    <t xml:space="preserve">Sina</t>
  </si>
  <si>
    <t xml:space="preserve">Firewood</t>
  </si>
  <si>
    <t xml:space="preserve">Kuni</t>
  </si>
  <si>
    <t xml:space="preserve">Charcoal</t>
  </si>
  <si>
    <t xml:space="preserve">Makaa</t>
  </si>
  <si>
    <t xml:space="preserve">LPG gas</t>
  </si>
  <si>
    <t xml:space="preserve">Gesi</t>
  </si>
  <si>
    <t xml:space="preserve">Electricity</t>
  </si>
  <si>
    <t xml:space="preserve">Umeme</t>
  </si>
  <si>
    <t xml:space="preserve">Kerosene</t>
  </si>
  <si>
    <t xml:space="preserve">Mafuta ya taa</t>
  </si>
  <si>
    <t xml:space="preserve">Cheapest</t>
  </si>
  <si>
    <t xml:space="preserve">Bei nafuu</t>
  </si>
  <si>
    <t xml:space="preserve">Cooks fastest</t>
  </si>
  <si>
    <t xml:space="preserve">Inapika haraka</t>
  </si>
  <si>
    <t xml:space="preserve">Food tastes better</t>
  </si>
  <si>
    <t xml:space="preserve">Chakula kitamu zaidi</t>
  </si>
  <si>
    <t xml:space="preserve">Easy to get</t>
  </si>
  <si>
    <t xml:space="preserve">Rahisi kupata</t>
  </si>
  <si>
    <t xml:space="preserve">I know it best</t>
  </si>
  <si>
    <t xml:space="preserve">Naifahamu zaidi</t>
  </si>
  <si>
    <t xml:space="preserve">Nothing</t>
  </si>
  <si>
    <t xml:space="preserve">Hakuna</t>
  </si>
  <si>
    <t xml:space="preserve">Under KSh100</t>
  </si>
  <si>
    <t xml:space="preserve">Chini ya KSh100</t>
  </si>
  <si>
    <t xml:space="preserve">KSh100-300</t>
  </si>
  <si>
    <t xml:space="preserve">KSh301-500</t>
  </si>
  <si>
    <t xml:space="preserve">Over KSh500</t>
  </si>
  <si>
    <t xml:space="preserve">Zaidi ya KSh500</t>
  </si>
  <si>
    <t xml:space="preserve">None</t>
  </si>
  <si>
    <t xml:space="preserve">Under 2 hrs</t>
  </si>
  <si>
    <t xml:space="preserve">Chini ya saa 2</t>
  </si>
  <si>
    <t xml:space="preserve">2-5 hrs</t>
  </si>
  <si>
    <t xml:space="preserve">Saa 2-5</t>
  </si>
  <si>
    <t xml:space="preserve">6-10 hrs</t>
  </si>
  <si>
    <t xml:space="preserve">Saa 6-10</t>
  </si>
  <si>
    <t xml:space="preserve">Over 10 hrs</t>
  </si>
  <si>
    <t xml:space="preserve">Zaidi ya saa 10</t>
  </si>
  <si>
    <t xml:space="preserve">Breakfast</t>
  </si>
  <si>
    <t xml:space="preserve">Asubuhi</t>
  </si>
  <si>
    <t xml:space="preserve">Lunch</t>
  </si>
  <si>
    <t xml:space="preserve">Mchana</t>
  </si>
  <si>
    <t xml:space="preserve">Supper</t>
  </si>
  <si>
    <t xml:space="preserve">Jioni</t>
  </si>
  <si>
    <t xml:space="preserve">Did not cook</t>
  </si>
  <si>
    <t xml:space="preserve">Sikupika</t>
  </si>
  <si>
    <t xml:space="preserve">Wa asubuhi</t>
  </si>
  <si>
    <t xml:space="preserve">Wa mchana</t>
  </si>
  <si>
    <t xml:space="preserve">Wa jioni</t>
  </si>
  <si>
    <t xml:space="preserve">Most days</t>
  </si>
  <si>
    <t xml:space="preserve">Karibu kila siku</t>
  </si>
  <si>
    <t xml:space="preserve">1-3 times a week</t>
  </si>
  <si>
    <t xml:space="preserve">Mara 1-3 kwa wiki</t>
  </si>
  <si>
    <t xml:space="preserve">Never</t>
  </si>
  <si>
    <t xml:space="preserve">Kamwe</t>
  </si>
  <si>
    <t xml:space="preserve">Farm or work hours</t>
  </si>
  <si>
    <t xml:space="preserve">Kazi au shamba</t>
  </si>
  <si>
    <t xml:space="preserve">When family is home</t>
  </si>
  <si>
    <t xml:space="preserve">Familia wakiwa nyumbani</t>
  </si>
  <si>
    <t xml:space="preserve">Fuel or stove ready</t>
  </si>
  <si>
    <t xml:space="preserve">Nishati au jiko tayari</t>
  </si>
  <si>
    <t xml:space="preserve">Habit</t>
  </si>
  <si>
    <t xml:space="preserve">Mazoea</t>
  </si>
  <si>
    <t xml:space="preserve">Siku nyingi</t>
  </si>
  <si>
    <t xml:space="preserve">Rarely or never</t>
  </si>
  <si>
    <t xml:space="preserve">Away at farm or market</t>
  </si>
  <si>
    <t xml:space="preserve">Niko shambani au sokoni</t>
  </si>
  <si>
    <t xml:space="preserve">Main meal is at night</t>
  </si>
  <si>
    <t xml:space="preserve">Chakula kikuu ni cha jioni</t>
  </si>
  <si>
    <t xml:space="preserve">No one home then</t>
  </si>
  <si>
    <t xml:space="preserve">Hakuna mtu nyumbani</t>
  </si>
  <si>
    <t xml:space="preserve">Cost of units</t>
  </si>
  <si>
    <t xml:space="preserve">Gharama ya units</t>
  </si>
  <si>
    <t xml:space="preserve">Fear of the appliance</t>
  </si>
  <si>
    <t xml:space="preserve">Hofu ya kifaa</t>
  </si>
  <si>
    <t xml:space="preserve">Food taste</t>
  </si>
  <si>
    <t xml:space="preserve">Ladha ya chakula</t>
  </si>
  <si>
    <t xml:space="preserve">Appliance broken or too small</t>
  </si>
  <si>
    <t xml:space="preserve">Kifaa kibovu au kidogo</t>
  </si>
  <si>
    <t xml:space="preserve">Power cuts</t>
  </si>
  <si>
    <t xml:space="preserve">Umeme kukatika</t>
  </si>
  <si>
    <t xml:space="preserve">Maybe</t>
  </si>
  <si>
    <t xml:space="preserve">Labda</t>
  </si>
  <si>
    <t xml:space="preserve">Hapana</t>
  </si>
  <si>
    <t xml:space="preserve">Small business e.g. sewing, selling</t>
  </si>
  <si>
    <t xml:space="preserve">Biashara ndogo mf. kushona, kuuza</t>
  </si>
  <si>
    <t xml:space="preserve">Childcare</t>
  </si>
  <si>
    <t xml:space="preserve">Kulea watoto</t>
  </si>
  <si>
    <t xml:space="preserve">Rest</t>
  </si>
  <si>
    <t xml:space="preserve">Kupumzika</t>
  </si>
  <si>
    <t xml:space="preserve">Study</t>
  </si>
  <si>
    <t xml:space="preserve">Kusoma</t>
  </si>
  <si>
    <t xml:space="preserve">Yes, very much</t>
  </si>
  <si>
    <t xml:space="preserve">Ndiyo, sana</t>
  </si>
  <si>
    <t xml:space="preserve">Morning</t>
  </si>
  <si>
    <t xml:space="preserve">Midday</t>
  </si>
  <si>
    <t xml:space="preserve">Evening</t>
  </si>
  <si>
    <t xml:space="preserve">Away from home</t>
  </si>
  <si>
    <t xml:space="preserve">Sikuwa nyumbani</t>
  </si>
  <si>
    <t xml:space="preserve">No meal needed then</t>
  </si>
  <si>
    <t xml:space="preserve">Sikuhitaji mlo</t>
  </si>
  <si>
    <t xml:space="preserve">Units finished</t>
  </si>
  <si>
    <t xml:space="preserve">Units ziliisha</t>
  </si>
  <si>
    <t xml:space="preserve">Power problem</t>
  </si>
  <si>
    <t xml:space="preserve">Shida ya umeme</t>
  </si>
  <si>
    <t xml:space="preserve">Both</t>
  </si>
  <si>
    <t xml:space="preserve">Vyote viwili</t>
  </si>
  <si>
    <t xml:space="preserve">EPC only</t>
  </si>
  <si>
    <t xml:space="preserve">EPC tu</t>
  </si>
  <si>
    <t xml:space="preserve">Hob only</t>
  </si>
  <si>
    <t xml:space="preserve">Jiko la sahani tu</t>
  </si>
  <si>
    <t xml:space="preserve">Neither</t>
  </si>
  <si>
    <t xml:space="preserve">Ugali</t>
  </si>
  <si>
    <t xml:space="preserve">Githeri or beans</t>
  </si>
  <si>
    <t xml:space="preserve">Githeri au maharagwe</t>
  </si>
  <si>
    <t xml:space="preserve">Rice</t>
  </si>
  <si>
    <t xml:space="preserve">Wali</t>
  </si>
  <si>
    <t xml:space="preserve">Tea or hot water</t>
  </si>
  <si>
    <t xml:space="preserve">Chai au maji moto</t>
  </si>
  <si>
    <t xml:space="preserve">No problem</t>
  </si>
  <si>
    <t xml:space="preserve">Hakuna shida</t>
  </si>
  <si>
    <t xml:space="preserve">Power cut</t>
  </si>
  <si>
    <t xml:space="preserve">Umeme ulikatika</t>
  </si>
  <si>
    <t xml:space="preserve">Appliance problem</t>
  </si>
  <si>
    <t xml:space="preserve">Shida ya kifaa</t>
  </si>
  <si>
    <t xml:space="preserve">Units ran out</t>
  </si>
  <si>
    <t xml:space="preserve">A little</t>
  </si>
  <si>
    <t xml:space="preserve">Kidogo</t>
  </si>
  <si>
    <t xml:space="preserve">I did not get units</t>
  </si>
  <si>
    <t xml:space="preserve">Sikupata units</t>
  </si>
  <si>
    <t xml:space="preserve">Another adult</t>
  </si>
  <si>
    <t xml:space="preserve">Mtu mzima mwingine</t>
  </si>
  <si>
    <t xml:space="preserve">A child</t>
  </si>
  <si>
    <t xml:space="preserve">Mtoto</t>
  </si>
  <si>
    <t xml:space="preserve">We shared</t>
  </si>
  <si>
    <t xml:space="preserve">Tulishirikiana</t>
  </si>
  <si>
    <t xml:space="preserve">Under KSh200</t>
  </si>
  <si>
    <t xml:space="preserve">Chini ya KSh200</t>
  </si>
  <si>
    <t xml:space="preserve">KSh200-500</t>
  </si>
  <si>
    <t xml:space="preserve">KSh501-1000</t>
  </si>
  <si>
    <t xml:space="preserve">Over KSh1000</t>
  </si>
  <si>
    <t xml:space="preserve">Zaidi ya KSh1000</t>
  </si>
  <si>
    <t xml:space="preserve">Very happy</t>
  </si>
  <si>
    <t xml:space="preserve">Nimefurahi sana</t>
  </si>
  <si>
    <t xml:space="preserve">Happy</t>
  </si>
  <si>
    <t xml:space="preserve">Nimefurahi</t>
  </si>
  <si>
    <t xml:space="preserve">In the middle</t>
  </si>
  <si>
    <t xml:space="preserve">Wastani</t>
  </si>
  <si>
    <t xml:space="preserve">Unhappy</t>
  </si>
  <si>
    <t xml:space="preserve">Sijaridhika</t>
  </si>
  <si>
    <t xml:space="preserve">I have not tried</t>
  </si>
  <si>
    <t xml:space="preserve">Sijajaribu</t>
  </si>
  <si>
    <t xml:space="preserve">Better than usual</t>
  </si>
  <si>
    <t xml:space="preserve">Nzuri zaidi</t>
  </si>
  <si>
    <t xml:space="preserve">Same</t>
  </si>
  <si>
    <t xml:space="preserve">Sawa na kawaida</t>
  </si>
  <si>
    <t xml:space="preserve">Worse</t>
  </si>
  <si>
    <t xml:space="preserve">Mbaya zaidi</t>
  </si>
  <si>
    <t xml:space="preserve">More free units 10am-3pm</t>
  </si>
  <si>
    <t xml:space="preserve">Units zaidi za bure 10am-3pm</t>
  </si>
  <si>
    <t xml:space="preserve">Half-price units at midday</t>
  </si>
  <si>
    <t xml:space="preserve">Bei nusu mchana</t>
  </si>
  <si>
    <t xml:space="preserve">Free units anytime</t>
  </si>
  <si>
    <t xml:space="preserve">Units za bure wakati wowote</t>
  </si>
  <si>
    <t xml:space="preserve">Airtime bonus</t>
  </si>
  <si>
    <t xml:space="preserve">Bonasi ya airtime</t>
  </si>
  <si>
    <t xml:space="preserve">Yes, daily</t>
  </si>
  <si>
    <t xml:space="preserve">Ndiyo, kila siku</t>
  </si>
  <si>
    <t xml:space="preserve">Business or earning</t>
  </si>
  <si>
    <t xml:space="preserve">Biashara au kipato</t>
  </si>
  <si>
    <t xml:space="preserve">Family time</t>
  </si>
  <si>
    <t xml:space="preserve">Muda na familia</t>
  </si>
  <si>
    <t xml:space="preserve">No time saved</t>
  </si>
  <si>
    <t xml:space="preserve">Hakuna muda</t>
  </si>
  <si>
    <t xml:space="preserve">EPC</t>
  </si>
  <si>
    <t xml:space="preserve">Electric kettle</t>
  </si>
  <si>
    <t xml:space="preserve">Birika la umeme</t>
  </si>
  <si>
    <t xml:space="preserve">Fridge</t>
  </si>
  <si>
    <t xml:space="preserve">Friji</t>
  </si>
  <si>
    <t xml:space="preserve">Iron</t>
  </si>
  <si>
    <t xml:space="preserve">Pasi</t>
  </si>
  <si>
    <t xml:space="preserve">TV or radio</t>
  </si>
  <si>
    <t xml:space="preserve">TV au redio</t>
  </si>
  <si>
    <t xml:space="preserve">More people</t>
  </si>
  <si>
    <t xml:space="preserve">Wameongezeka</t>
  </si>
  <si>
    <t xml:space="preserve">Ni sawa</t>
  </si>
  <si>
    <t xml:space="preserve">Fewer people</t>
  </si>
  <si>
    <t xml:space="preserve">Wamepungua</t>
  </si>
  <si>
    <t xml:space="preserve">Tailoring or sewing</t>
  </si>
  <si>
    <t xml:space="preserve">Kushona nguo</t>
  </si>
  <si>
    <t xml:space="preserve">Selling food or produce</t>
  </si>
  <si>
    <t xml:space="preserve">Kuuza chakula au mazao</t>
  </si>
  <si>
    <t xml:space="preserve">Shop or kiosk</t>
  </si>
  <si>
    <t xml:space="preserve">Duka au kiosk</t>
  </si>
  <si>
    <t xml:space="preserve">Farming for sale</t>
  </si>
  <si>
    <t xml:space="preserve">Kilimo cha kuuza</t>
  </si>
  <si>
    <t xml:space="preserve">Harder</t>
  </si>
  <si>
    <t xml:space="preserve">Ngumu zaidi</t>
  </si>
  <si>
    <t xml:space="preserve">Sawa</t>
  </si>
  <si>
    <t xml:space="preserve">Easier</t>
  </si>
  <si>
    <t xml:space="preserve">Rahisi zaidi</t>
  </si>
  <si>
    <t xml:space="preserve">Under KSh10</t>
  </si>
  <si>
    <t xml:space="preserve">Chini ya KSh10</t>
  </si>
  <si>
    <t xml:space="preserve">KSh10-20</t>
  </si>
  <si>
    <t xml:space="preserve">KSh21-40</t>
  </si>
  <si>
    <t xml:space="preserve">Over KSh40</t>
  </si>
  <si>
    <t xml:space="preserve">Zaidi ya KSh40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</si>
</sst>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1F8"/>
        <bgColor rgb="FFF2F2F2"/>
      </patternFill>
    </fill>
    <fill>
      <patternFill patternType="solid">
        <fgColor rgb="FFFFF6E5"/>
        <bgColor rgb="FFFDECEC"/>
      </patternFill>
    </fill>
    <fill>
      <patternFill patternType="solid">
        <fgColor rgb="FFEAF6EC"/>
        <bgColor rgb="FFEAF1F8"/>
      </patternFill>
    </fill>
    <fill>
      <patternFill patternType="solid">
        <fgColor rgb="FFF3ECF8"/>
        <bgColor rgb="FFF2F2F2"/>
      </patternFill>
    </fill>
    <fill>
      <patternFill patternType="solid">
        <fgColor rgb="FFFDECEC"/>
        <bgColor rgb="FFF3ECF8"/>
      </patternFill>
    </fill>
    <fill>
      <patternFill patternType="solid">
        <fgColor rgb="FFF2F2F2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EAF6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F2F2F2"/>
      <rgbColor rgb="FFFDECEC"/>
      <rgbColor rgb="FF99CCFF"/>
      <rgbColor rgb="FFFF99CC"/>
      <rgbColor rgb="FFCC99FF"/>
      <rgbColor rgb="FFF3ECF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3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customFormat="false" ht="15" hidden="false" customHeight="false" outlineLevel="0" collapsed="false">
      <c r="A11" s="2" t="s">
        <v>10</v>
      </c>
      <c r="B11" s="2" t="n">
        <f aca="false">COUNTIF('Question bank'!A:A,A11)</f>
        <v>4</v>
      </c>
      <c r="C11" s="2" t="s">
        <v>11</v>
      </c>
      <c r="D11" s="2" t="s">
        <v>12</v>
      </c>
      <c r="E11" s="2" t="s">
        <v>13</v>
      </c>
    </row>
    <row r="12" customFormat="false" ht="15" hidden="false" customHeight="false" outlineLevel="0" collapsed="false">
      <c r="A12" s="2" t="s">
        <v>14</v>
      </c>
      <c r="B12" s="2" t="n">
        <f aca="false">COUNTIF('Question bank'!A:A,A12)</f>
        <v>24</v>
      </c>
      <c r="C12" s="2" t="s">
        <v>15</v>
      </c>
      <c r="D12" s="2" t="s">
        <v>16</v>
      </c>
      <c r="E12" s="2" t="s">
        <v>17</v>
      </c>
    </row>
    <row r="13" customFormat="false" ht="15" hidden="false" customHeight="false" outlineLevel="0" collapsed="false">
      <c r="A13" s="2" t="s">
        <v>18</v>
      </c>
      <c r="B13" s="2" t="n">
        <f aca="false">COUNTIF('Question bank'!A:A,A13)</f>
        <v>8</v>
      </c>
      <c r="C13" s="2" t="s">
        <v>19</v>
      </c>
      <c r="D13" s="2" t="s">
        <v>20</v>
      </c>
      <c r="E13" s="2" t="s">
        <v>21</v>
      </c>
    </row>
    <row r="14" customFormat="false" ht="15" hidden="false" customHeight="false" outlineLevel="0" collapsed="false">
      <c r="A14" s="2" t="s">
        <v>22</v>
      </c>
      <c r="B14" s="2" t="n">
        <f aca="false">COUNTIF('Question bank'!A:A,A14)</f>
        <v>9</v>
      </c>
      <c r="C14" s="2" t="s">
        <v>23</v>
      </c>
      <c r="D14" s="2" t="s">
        <v>24</v>
      </c>
      <c r="E14" s="2" t="s">
        <v>25</v>
      </c>
    </row>
    <row r="15" customFormat="false" ht="15" hidden="false" customHeight="false" outlineLevel="0" collapsed="false">
      <c r="A15" s="2" t="s">
        <v>26</v>
      </c>
      <c r="B15" s="2" t="n">
        <f aca="false">COUNTIF('Question bank'!A:A,A15)</f>
        <v>6</v>
      </c>
      <c r="C15" s="2" t="s">
        <v>27</v>
      </c>
      <c r="D15" s="2" t="s">
        <v>28</v>
      </c>
      <c r="E15" s="2" t="s">
        <v>29</v>
      </c>
    </row>
    <row r="16" customFormat="false" ht="15" hidden="false" customHeight="false" outlineLevel="0" collapsed="false">
      <c r="A16" s="2" t="s">
        <v>30</v>
      </c>
      <c r="B16" s="2" t="n">
        <f aca="false">COUNTIF('Question bank'!A:A,A16)</f>
        <v>5</v>
      </c>
      <c r="C16" s="2" t="s">
        <v>31</v>
      </c>
      <c r="D16" s="2" t="s">
        <v>32</v>
      </c>
      <c r="E16" s="2" t="s">
        <v>32</v>
      </c>
    </row>
    <row r="18" customFormat="false" ht="15" hidden="false" customHeight="false" outlineLevel="0" collapsed="false">
      <c r="A18" s="3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2" t="s">
        <v>35</v>
      </c>
    </row>
    <row r="21" customFormat="false" ht="15" hidden="false" customHeight="false" outlineLevel="0" collapsed="false">
      <c r="A21" s="2" t="s">
        <v>36</v>
      </c>
    </row>
    <row r="22" customFormat="false" ht="15" hidden="false" customHeight="false" outlineLevel="0" collapsed="false">
      <c r="A22" s="2" t="s">
        <v>37</v>
      </c>
    </row>
    <row r="23" customFormat="false" ht="15" hidden="false" customHeight="false" outlineLevel="0" collapsed="false">
      <c r="A23" s="2" t="s">
        <v>38</v>
      </c>
    </row>
  </sheetData>
  <mergeCells count="1">
    <mergeCell ref="A5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56"/>
    <col collapsed="false" customWidth="true" hidden="false" outlineLevel="0" max="8" min="7" style="0" width="8"/>
    <col collapsed="false" customWidth="true" hidden="false" outlineLevel="0" max="9" min="9" style="0" width="56"/>
    <col collapsed="false" customWidth="true" hidden="false" outlineLevel="0" max="11" min="10" style="0" width="8"/>
    <col collapsed="false" customWidth="true" hidden="false" outlineLevel="0" max="12" min="12" style="0" width="16"/>
    <col collapsed="false" customWidth="true" hidden="false" outlineLevel="0" max="13" min="13" style="0" width="26"/>
    <col collapsed="false" customWidth="true" hidden="false" outlineLevel="0" max="15" min="14" style="0" width="30"/>
  </cols>
  <sheetData>
    <row r="1" customFormat="false" ht="15" hidden="false" customHeight="false" outlineLevel="0" collapsed="false">
      <c r="A1" s="5" t="s">
        <v>5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</row>
    <row r="2" customFormat="false" ht="23.85" hidden="false" customHeight="false" outlineLevel="0" collapsed="false">
      <c r="A2" s="6" t="s">
        <v>10</v>
      </c>
      <c r="B2" s="7" t="s">
        <v>53</v>
      </c>
      <c r="C2" s="7" t="s">
        <v>54</v>
      </c>
      <c r="D2" s="7" t="s">
        <v>55</v>
      </c>
      <c r="E2" s="7" t="s">
        <v>56</v>
      </c>
      <c r="F2" s="8" t="s">
        <v>57</v>
      </c>
      <c r="G2" s="7" t="n">
        <f aca="false">LEN(F2)</f>
        <v>95</v>
      </c>
      <c r="H2" s="7" t="str">
        <f aca="false">IF(G2&lt;=160,"1 SMS",ROUNDUP(G2/153,0)&amp;" SMS")</f>
        <v>1 SMS</v>
      </c>
      <c r="I2" s="8" t="s">
        <v>57</v>
      </c>
      <c r="J2" s="7" t="n">
        <f aca="false">LEN(I2)</f>
        <v>95</v>
      </c>
      <c r="K2" s="7" t="str">
        <f aca="false">IF(J2&lt;=160,"1 SMS",ROUNDUP(J2/153,0)&amp;" SMS")</f>
        <v>1 SMS</v>
      </c>
      <c r="L2" s="7" t="s">
        <v>58</v>
      </c>
      <c r="M2" s="8"/>
      <c r="N2" s="8" t="s">
        <v>59</v>
      </c>
      <c r="O2" s="8" t="s">
        <v>60</v>
      </c>
    </row>
    <row r="3" customFormat="false" ht="35.05" hidden="false" customHeight="false" outlineLevel="0" collapsed="false">
      <c r="A3" s="6" t="s">
        <v>10</v>
      </c>
      <c r="B3" s="7" t="s">
        <v>53</v>
      </c>
      <c r="C3" s="7" t="s">
        <v>61</v>
      </c>
      <c r="D3" s="7" t="s">
        <v>62</v>
      </c>
      <c r="E3" s="7" t="s">
        <v>56</v>
      </c>
      <c r="F3" s="8" t="s">
        <v>63</v>
      </c>
      <c r="G3" s="7" t="n">
        <f aca="false">LEN(F3)</f>
        <v>152</v>
      </c>
      <c r="H3" s="7" t="str">
        <f aca="false">IF(G3&lt;=160,"1 SMS",ROUNDUP(G3/153,0)&amp;" SMS")</f>
        <v>1 SMS</v>
      </c>
      <c r="I3" s="8" t="s">
        <v>64</v>
      </c>
      <c r="J3" s="7" t="n">
        <f aca="false">LEN(I3)</f>
        <v>146</v>
      </c>
      <c r="K3" s="7" t="str">
        <f aca="false">IF(J3&lt;=160,"1 SMS",ROUNDUP(J3/153,0)&amp;" SMS")</f>
        <v>1 SMS</v>
      </c>
      <c r="L3" s="7" t="s">
        <v>65</v>
      </c>
      <c r="M3" s="8" t="s">
        <v>66</v>
      </c>
      <c r="N3" s="8" t="s">
        <v>67</v>
      </c>
      <c r="O3" s="8" t="s">
        <v>68</v>
      </c>
    </row>
    <row r="4" customFormat="false" ht="35.05" hidden="false" customHeight="false" outlineLevel="0" collapsed="false">
      <c r="A4" s="6" t="s">
        <v>10</v>
      </c>
      <c r="B4" s="7" t="s">
        <v>53</v>
      </c>
      <c r="C4" s="7" t="s">
        <v>69</v>
      </c>
      <c r="D4" s="7"/>
      <c r="E4" s="7" t="s">
        <v>70</v>
      </c>
      <c r="F4" s="8" t="s">
        <v>71</v>
      </c>
      <c r="G4" s="7" t="n">
        <f aca="false">LEN(F4)</f>
        <v>156</v>
      </c>
      <c r="H4" s="7" t="str">
        <f aca="false">IF(G4&lt;=160,"1 SMS",ROUNDUP(G4/153,0)&amp;" SMS")</f>
        <v>1 SMS</v>
      </c>
      <c r="I4" s="8" t="s">
        <v>72</v>
      </c>
      <c r="J4" s="7" t="n">
        <f aca="false">LEN(I4)</f>
        <v>158</v>
      </c>
      <c r="K4" s="7" t="str">
        <f aca="false">IF(J4&lt;=160,"1 SMS",ROUNDUP(J4/153,0)&amp;" SMS")</f>
        <v>1 SMS</v>
      </c>
      <c r="L4" s="7"/>
      <c r="M4" s="8"/>
      <c r="N4" s="8" t="s">
        <v>73</v>
      </c>
      <c r="O4" s="8" t="s">
        <v>74</v>
      </c>
    </row>
    <row r="5" customFormat="false" ht="23.85" hidden="false" customHeight="false" outlineLevel="0" collapsed="false">
      <c r="A5" s="6" t="s">
        <v>10</v>
      </c>
      <c r="B5" s="7" t="s">
        <v>53</v>
      </c>
      <c r="C5" s="7" t="s">
        <v>75</v>
      </c>
      <c r="D5" s="7" t="s">
        <v>76</v>
      </c>
      <c r="E5" s="7" t="s">
        <v>56</v>
      </c>
      <c r="F5" s="8" t="s">
        <v>77</v>
      </c>
      <c r="G5" s="7" t="n">
        <f aca="false">LEN(F5)</f>
        <v>94</v>
      </c>
      <c r="H5" s="7" t="str">
        <f aca="false">IF(G5&lt;=160,"1 SMS",ROUNDUP(G5/153,0)&amp;" SMS")</f>
        <v>1 SMS</v>
      </c>
      <c r="I5" s="8" t="s">
        <v>78</v>
      </c>
      <c r="J5" s="7" t="n">
        <f aca="false">LEN(I5)</f>
        <v>94</v>
      </c>
      <c r="K5" s="7" t="str">
        <f aca="false">IF(J5&lt;=160,"1 SMS",ROUNDUP(J5/153,0)&amp;" SMS")</f>
        <v>1 SMS</v>
      </c>
      <c r="L5" s="7" t="s">
        <v>79</v>
      </c>
      <c r="M5" s="8" t="s">
        <v>80</v>
      </c>
      <c r="N5" s="8" t="s">
        <v>81</v>
      </c>
      <c r="O5" s="8" t="s">
        <v>82</v>
      </c>
    </row>
    <row r="6" customFormat="false" ht="23.85" hidden="false" customHeight="false" outlineLevel="0" collapsed="false">
      <c r="A6" s="9" t="s">
        <v>14</v>
      </c>
      <c r="B6" s="7" t="s">
        <v>83</v>
      </c>
      <c r="C6" s="7" t="s">
        <v>84</v>
      </c>
      <c r="D6" s="7" t="s">
        <v>85</v>
      </c>
      <c r="E6" s="7" t="s">
        <v>86</v>
      </c>
      <c r="F6" s="8" t="s">
        <v>87</v>
      </c>
      <c r="G6" s="7" t="n">
        <f aca="false">LEN(F6)</f>
        <v>86</v>
      </c>
      <c r="H6" s="7" t="str">
        <f aca="false">IF(G6&lt;=160,"1 SMS",ROUNDUP(G6/153,0)&amp;" SMS")</f>
        <v>1 SMS</v>
      </c>
      <c r="I6" s="8" t="s">
        <v>88</v>
      </c>
      <c r="J6" s="7" t="n">
        <f aca="false">LEN(I6)</f>
        <v>87</v>
      </c>
      <c r="K6" s="7" t="str">
        <f aca="false">IF(J6&lt;=160,"1 SMS",ROUNDUP(J6/153,0)&amp;" SMS")</f>
        <v>1 SMS</v>
      </c>
      <c r="L6" s="7" t="s">
        <v>89</v>
      </c>
      <c r="M6" s="8"/>
      <c r="N6" s="8" t="s">
        <v>90</v>
      </c>
      <c r="O6" s="8" t="s">
        <v>91</v>
      </c>
    </row>
    <row r="7" customFormat="false" ht="23.85" hidden="false" customHeight="false" outlineLevel="0" collapsed="false">
      <c r="A7" s="9" t="s">
        <v>14</v>
      </c>
      <c r="B7" s="7" t="s">
        <v>83</v>
      </c>
      <c r="C7" s="7" t="s">
        <v>92</v>
      </c>
      <c r="D7" s="7" t="s">
        <v>93</v>
      </c>
      <c r="E7" s="7" t="s">
        <v>86</v>
      </c>
      <c r="F7" s="8" t="s">
        <v>94</v>
      </c>
      <c r="G7" s="7" t="n">
        <f aca="false">LEN(F7)</f>
        <v>87</v>
      </c>
      <c r="H7" s="7" t="str">
        <f aca="false">IF(G7&lt;=160,"1 SMS",ROUNDUP(G7/153,0)&amp;" SMS")</f>
        <v>1 SMS</v>
      </c>
      <c r="I7" s="8" t="s">
        <v>95</v>
      </c>
      <c r="J7" s="7" t="n">
        <f aca="false">LEN(I7)</f>
        <v>91</v>
      </c>
      <c r="K7" s="7" t="str">
        <f aca="false">IF(J7&lt;=160,"1 SMS",ROUNDUP(J7/153,0)&amp;" SMS")</f>
        <v>1 SMS</v>
      </c>
      <c r="L7" s="7" t="s">
        <v>96</v>
      </c>
      <c r="M7" s="8"/>
      <c r="N7" s="8" t="s">
        <v>97</v>
      </c>
      <c r="O7" s="8"/>
    </row>
    <row r="8" customFormat="false" ht="23.85" hidden="false" customHeight="false" outlineLevel="0" collapsed="false">
      <c r="A8" s="9" t="s">
        <v>14</v>
      </c>
      <c r="B8" s="7" t="s">
        <v>83</v>
      </c>
      <c r="C8" s="7" t="s">
        <v>98</v>
      </c>
      <c r="D8" s="7" t="s">
        <v>99</v>
      </c>
      <c r="E8" s="7" t="s">
        <v>56</v>
      </c>
      <c r="F8" s="8" t="s">
        <v>100</v>
      </c>
      <c r="G8" s="7" t="n">
        <f aca="false">LEN(F8)</f>
        <v>91</v>
      </c>
      <c r="H8" s="7" t="str">
        <f aca="false">IF(G8&lt;=160,"1 SMS",ROUNDUP(G8/153,0)&amp;" SMS")</f>
        <v>1 SMS</v>
      </c>
      <c r="I8" s="8" t="s">
        <v>101</v>
      </c>
      <c r="J8" s="7" t="n">
        <f aca="false">LEN(I8)</f>
        <v>90</v>
      </c>
      <c r="K8" s="7" t="str">
        <f aca="false">IF(J8&lt;=160,"1 SMS",ROUNDUP(J8/153,0)&amp;" SMS")</f>
        <v>1 SMS</v>
      </c>
      <c r="L8" s="7" t="s">
        <v>102</v>
      </c>
      <c r="M8" s="8"/>
      <c r="N8" s="8" t="s">
        <v>103</v>
      </c>
      <c r="O8" s="8"/>
    </row>
    <row r="9" customFormat="false" ht="23.85" hidden="false" customHeight="false" outlineLevel="0" collapsed="false">
      <c r="A9" s="9" t="s">
        <v>14</v>
      </c>
      <c r="B9" s="7" t="s">
        <v>83</v>
      </c>
      <c r="C9" s="7" t="s">
        <v>104</v>
      </c>
      <c r="D9" s="7" t="s">
        <v>105</v>
      </c>
      <c r="E9" s="7" t="s">
        <v>56</v>
      </c>
      <c r="F9" s="8" t="s">
        <v>106</v>
      </c>
      <c r="G9" s="7" t="n">
        <f aca="false">LEN(F9)</f>
        <v>103</v>
      </c>
      <c r="H9" s="7" t="str">
        <f aca="false">IF(G9&lt;=160,"1 SMS",ROUNDUP(G9/153,0)&amp;" SMS")</f>
        <v>1 SMS</v>
      </c>
      <c r="I9" s="8" t="s">
        <v>107</v>
      </c>
      <c r="J9" s="7" t="n">
        <f aca="false">LEN(I9)</f>
        <v>95</v>
      </c>
      <c r="K9" s="7" t="str">
        <f aca="false">IF(J9&lt;=160,"1 SMS",ROUNDUP(J9/153,0)&amp;" SMS")</f>
        <v>1 SMS</v>
      </c>
      <c r="L9" s="7" t="s">
        <v>108</v>
      </c>
      <c r="M9" s="8"/>
      <c r="N9" s="8" t="s">
        <v>109</v>
      </c>
      <c r="O9" s="8"/>
    </row>
    <row r="10" customFormat="false" ht="23.85" hidden="false" customHeight="false" outlineLevel="0" collapsed="false">
      <c r="A10" s="9" t="s">
        <v>14</v>
      </c>
      <c r="B10" s="7" t="s">
        <v>83</v>
      </c>
      <c r="C10" s="7" t="s">
        <v>110</v>
      </c>
      <c r="D10" s="7" t="s">
        <v>111</v>
      </c>
      <c r="E10" s="7" t="s">
        <v>56</v>
      </c>
      <c r="F10" s="8" t="s">
        <v>112</v>
      </c>
      <c r="G10" s="7" t="n">
        <f aca="false">LEN(F10)</f>
        <v>100</v>
      </c>
      <c r="H10" s="7" t="str">
        <f aca="false">IF(G10&lt;=160,"1 SMS",ROUNDUP(G10/153,0)&amp;" SMS")</f>
        <v>1 SMS</v>
      </c>
      <c r="I10" s="8" t="s">
        <v>113</v>
      </c>
      <c r="J10" s="7" t="n">
        <f aca="false">LEN(I10)</f>
        <v>108</v>
      </c>
      <c r="K10" s="7" t="str">
        <f aca="false">IF(J10&lt;=160,"1 SMS",ROUNDUP(J10/153,0)&amp;" SMS")</f>
        <v>1 SMS</v>
      </c>
      <c r="L10" s="7" t="s">
        <v>102</v>
      </c>
      <c r="M10" s="8"/>
      <c r="N10" s="8" t="s">
        <v>114</v>
      </c>
      <c r="O10" s="8"/>
    </row>
    <row r="11" customFormat="false" ht="23.85" hidden="false" customHeight="false" outlineLevel="0" collapsed="false">
      <c r="A11" s="9" t="s">
        <v>14</v>
      </c>
      <c r="B11" s="7" t="s">
        <v>83</v>
      </c>
      <c r="C11" s="7" t="s">
        <v>115</v>
      </c>
      <c r="D11" s="7" t="s">
        <v>116</v>
      </c>
      <c r="E11" s="7" t="s">
        <v>56</v>
      </c>
      <c r="F11" s="8" t="s">
        <v>117</v>
      </c>
      <c r="G11" s="7" t="n">
        <f aca="false">LEN(F11)</f>
        <v>89</v>
      </c>
      <c r="H11" s="7" t="str">
        <f aca="false">IF(G11&lt;=160,"1 SMS",ROUNDUP(G11/153,0)&amp;" SMS")</f>
        <v>1 SMS</v>
      </c>
      <c r="I11" s="8" t="s">
        <v>118</v>
      </c>
      <c r="J11" s="7" t="n">
        <f aca="false">LEN(I11)</f>
        <v>118</v>
      </c>
      <c r="K11" s="7" t="str">
        <f aca="false">IF(J11&lt;=160,"1 SMS",ROUNDUP(J11/153,0)&amp;" SMS")</f>
        <v>1 SMS</v>
      </c>
      <c r="L11" s="7" t="s">
        <v>79</v>
      </c>
      <c r="M11" s="8"/>
      <c r="N11" s="8" t="s">
        <v>119</v>
      </c>
      <c r="O11" s="8" t="s">
        <v>120</v>
      </c>
    </row>
    <row r="12" customFormat="false" ht="23.85" hidden="false" customHeight="false" outlineLevel="0" collapsed="false">
      <c r="A12" s="9" t="s">
        <v>14</v>
      </c>
      <c r="B12" s="7" t="s">
        <v>121</v>
      </c>
      <c r="C12" s="7" t="s">
        <v>122</v>
      </c>
      <c r="D12" s="7" t="s">
        <v>123</v>
      </c>
      <c r="E12" s="7" t="s">
        <v>56</v>
      </c>
      <c r="F12" s="8" t="s">
        <v>124</v>
      </c>
      <c r="G12" s="7" t="n">
        <f aca="false">LEN(F12)</f>
        <v>84</v>
      </c>
      <c r="H12" s="7" t="str">
        <f aca="false">IF(G12&lt;=160,"1 SMS",ROUNDUP(G12/153,0)&amp;" SMS")</f>
        <v>1 SMS</v>
      </c>
      <c r="I12" s="8" t="s">
        <v>125</v>
      </c>
      <c r="J12" s="7" t="n">
        <f aca="false">LEN(I12)</f>
        <v>96</v>
      </c>
      <c r="K12" s="7" t="str">
        <f aca="false">IF(J12&lt;=160,"1 SMS",ROUNDUP(J12/153,0)&amp;" SMS")</f>
        <v>1 SMS</v>
      </c>
      <c r="L12" s="7" t="s">
        <v>79</v>
      </c>
      <c r="M12" s="8" t="s">
        <v>126</v>
      </c>
      <c r="N12" s="8" t="s">
        <v>127</v>
      </c>
      <c r="O12" s="8" t="s">
        <v>128</v>
      </c>
    </row>
    <row r="13" customFormat="false" ht="23.85" hidden="false" customHeight="false" outlineLevel="0" collapsed="false">
      <c r="A13" s="9" t="s">
        <v>14</v>
      </c>
      <c r="B13" s="7" t="s">
        <v>121</v>
      </c>
      <c r="C13" s="7" t="s">
        <v>129</v>
      </c>
      <c r="D13" s="7" t="s">
        <v>130</v>
      </c>
      <c r="E13" s="7" t="s">
        <v>56</v>
      </c>
      <c r="F13" s="8" t="s">
        <v>131</v>
      </c>
      <c r="G13" s="7" t="n">
        <f aca="false">LEN(F13)</f>
        <v>78</v>
      </c>
      <c r="H13" s="7" t="str">
        <f aca="false">IF(G13&lt;=160,"1 SMS",ROUNDUP(G13/153,0)&amp;" SMS")</f>
        <v>1 SMS</v>
      </c>
      <c r="I13" s="8" t="s">
        <v>132</v>
      </c>
      <c r="J13" s="7" t="n">
        <f aca="false">LEN(I13)</f>
        <v>98</v>
      </c>
      <c r="K13" s="7" t="str">
        <f aca="false">IF(J13&lt;=160,"1 SMS",ROUNDUP(J13/153,0)&amp;" SMS")</f>
        <v>1 SMS</v>
      </c>
      <c r="L13" s="7" t="s">
        <v>79</v>
      </c>
      <c r="M13" s="8" t="s">
        <v>133</v>
      </c>
      <c r="N13" s="8" t="s">
        <v>127</v>
      </c>
      <c r="O13" s="8"/>
    </row>
    <row r="14" customFormat="false" ht="35.05" hidden="false" customHeight="false" outlineLevel="0" collapsed="false">
      <c r="A14" s="9" t="s">
        <v>14</v>
      </c>
      <c r="B14" s="7" t="s">
        <v>121</v>
      </c>
      <c r="C14" s="7" t="s">
        <v>134</v>
      </c>
      <c r="D14" s="7" t="s">
        <v>135</v>
      </c>
      <c r="E14" s="7" t="s">
        <v>136</v>
      </c>
      <c r="F14" s="8" t="s">
        <v>137</v>
      </c>
      <c r="G14" s="7" t="n">
        <f aca="false">LEN(F14)</f>
        <v>138</v>
      </c>
      <c r="H14" s="7" t="str">
        <f aca="false">IF(G14&lt;=160,"1 SMS",ROUNDUP(G14/153,0)&amp;" SMS")</f>
        <v>1 SMS</v>
      </c>
      <c r="I14" s="8" t="s">
        <v>138</v>
      </c>
      <c r="J14" s="7" t="n">
        <f aca="false">LEN(I14)</f>
        <v>107</v>
      </c>
      <c r="K14" s="7" t="str">
        <f aca="false">IF(J14&lt;=160,"1 SMS",ROUNDUP(J14/153,0)&amp;" SMS")</f>
        <v>1 SMS</v>
      </c>
      <c r="L14" s="7" t="s">
        <v>139</v>
      </c>
      <c r="M14" s="8"/>
      <c r="N14" s="8" t="s">
        <v>140</v>
      </c>
      <c r="O14" s="8" t="s">
        <v>141</v>
      </c>
    </row>
    <row r="15" customFormat="false" ht="23.85" hidden="false" customHeight="false" outlineLevel="0" collapsed="false">
      <c r="A15" s="9" t="s">
        <v>14</v>
      </c>
      <c r="B15" s="7" t="s">
        <v>121</v>
      </c>
      <c r="C15" s="7" t="s">
        <v>142</v>
      </c>
      <c r="D15" s="7" t="s">
        <v>143</v>
      </c>
      <c r="E15" s="7" t="s">
        <v>56</v>
      </c>
      <c r="F15" s="8" t="s">
        <v>144</v>
      </c>
      <c r="G15" s="7" t="n">
        <f aca="false">LEN(F15)</f>
        <v>105</v>
      </c>
      <c r="H15" s="7" t="str">
        <f aca="false">IF(G15&lt;=160,"1 SMS",ROUNDUP(G15/153,0)&amp;" SMS")</f>
        <v>1 SMS</v>
      </c>
      <c r="I15" s="8" t="s">
        <v>145</v>
      </c>
      <c r="J15" s="7" t="n">
        <f aca="false">LEN(I15)</f>
        <v>100</v>
      </c>
      <c r="K15" s="7" t="str">
        <f aca="false">IF(J15&lt;=160,"1 SMS",ROUNDUP(J15/153,0)&amp;" SMS")</f>
        <v>1 SMS</v>
      </c>
      <c r="L15" s="7" t="s">
        <v>108</v>
      </c>
      <c r="M15" s="8"/>
      <c r="N15" s="8" t="s">
        <v>146</v>
      </c>
      <c r="O15" s="8"/>
    </row>
    <row r="16" customFormat="false" ht="23.85" hidden="false" customHeight="false" outlineLevel="0" collapsed="false">
      <c r="A16" s="9" t="s">
        <v>14</v>
      </c>
      <c r="B16" s="7" t="s">
        <v>121</v>
      </c>
      <c r="C16" s="7" t="s">
        <v>147</v>
      </c>
      <c r="D16" s="7" t="s">
        <v>148</v>
      </c>
      <c r="E16" s="7" t="s">
        <v>56</v>
      </c>
      <c r="F16" s="8" t="s">
        <v>149</v>
      </c>
      <c r="G16" s="7" t="n">
        <f aca="false">LEN(F16)</f>
        <v>114</v>
      </c>
      <c r="H16" s="7" t="str">
        <f aca="false">IF(G16&lt;=160,"1 SMS",ROUNDUP(G16/153,0)&amp;" SMS")</f>
        <v>1 SMS</v>
      </c>
      <c r="I16" s="8" t="s">
        <v>150</v>
      </c>
      <c r="J16" s="7" t="n">
        <f aca="false">LEN(I16)</f>
        <v>127</v>
      </c>
      <c r="K16" s="7" t="str">
        <f aca="false">IF(J16&lt;=160,"1 SMS",ROUNDUP(J16/153,0)&amp;" SMS")</f>
        <v>1 SMS</v>
      </c>
      <c r="L16" s="7" t="s">
        <v>108</v>
      </c>
      <c r="M16" s="8"/>
      <c r="N16" s="8" t="s">
        <v>151</v>
      </c>
      <c r="O16" s="8"/>
    </row>
    <row r="17" customFormat="false" ht="35.05" hidden="false" customHeight="false" outlineLevel="0" collapsed="false">
      <c r="A17" s="9" t="s">
        <v>14</v>
      </c>
      <c r="B17" s="7" t="s">
        <v>121</v>
      </c>
      <c r="C17" s="7" t="s">
        <v>152</v>
      </c>
      <c r="D17" s="7" t="s">
        <v>153</v>
      </c>
      <c r="E17" s="7" t="s">
        <v>56</v>
      </c>
      <c r="F17" s="8" t="s">
        <v>154</v>
      </c>
      <c r="G17" s="7" t="n">
        <f aca="false">LEN(F17)</f>
        <v>136</v>
      </c>
      <c r="H17" s="7" t="str">
        <f aca="false">IF(G17&lt;=160,"1 SMS",ROUNDUP(G17/153,0)&amp;" SMS")</f>
        <v>1 SMS</v>
      </c>
      <c r="I17" s="8" t="s">
        <v>155</v>
      </c>
      <c r="J17" s="7" t="n">
        <f aca="false">LEN(I17)</f>
        <v>136</v>
      </c>
      <c r="K17" s="7" t="str">
        <f aca="false">IF(J17&lt;=160,"1 SMS",ROUNDUP(J17/153,0)&amp;" SMS")</f>
        <v>1 SMS</v>
      </c>
      <c r="L17" s="7" t="s">
        <v>108</v>
      </c>
      <c r="M17" s="8"/>
      <c r="N17" s="8" t="s">
        <v>156</v>
      </c>
      <c r="O17" s="8" t="s">
        <v>157</v>
      </c>
    </row>
    <row r="18" customFormat="false" ht="23.85" hidden="false" customHeight="false" outlineLevel="0" collapsed="false">
      <c r="A18" s="9" t="s">
        <v>14</v>
      </c>
      <c r="B18" s="7" t="s">
        <v>121</v>
      </c>
      <c r="C18" s="7" t="s">
        <v>158</v>
      </c>
      <c r="D18" s="7" t="s">
        <v>159</v>
      </c>
      <c r="E18" s="7" t="s">
        <v>56</v>
      </c>
      <c r="F18" s="8" t="s">
        <v>160</v>
      </c>
      <c r="G18" s="7" t="n">
        <f aca="false">LEN(F18)</f>
        <v>108</v>
      </c>
      <c r="H18" s="7" t="str">
        <f aca="false">IF(G18&lt;=160,"1 SMS",ROUNDUP(G18/153,0)&amp;" SMS")</f>
        <v>1 SMS</v>
      </c>
      <c r="I18" s="8" t="s">
        <v>161</v>
      </c>
      <c r="J18" s="7" t="n">
        <f aca="false">LEN(I18)</f>
        <v>102</v>
      </c>
      <c r="K18" s="7" t="str">
        <f aca="false">IF(J18&lt;=160,"1 SMS",ROUNDUP(J18/153,0)&amp;" SMS")</f>
        <v>1 SMS</v>
      </c>
      <c r="L18" s="7" t="s">
        <v>108</v>
      </c>
      <c r="M18" s="8"/>
      <c r="N18" s="8" t="s">
        <v>162</v>
      </c>
      <c r="O18" s="8" t="s">
        <v>163</v>
      </c>
    </row>
    <row r="19" customFormat="false" ht="23.85" hidden="false" customHeight="false" outlineLevel="0" collapsed="false">
      <c r="A19" s="9" t="s">
        <v>14</v>
      </c>
      <c r="B19" s="7" t="s">
        <v>121</v>
      </c>
      <c r="C19" s="7" t="s">
        <v>164</v>
      </c>
      <c r="D19" s="7" t="s">
        <v>165</v>
      </c>
      <c r="E19" s="7" t="s">
        <v>136</v>
      </c>
      <c r="F19" s="8" t="s">
        <v>166</v>
      </c>
      <c r="G19" s="7" t="n">
        <f aca="false">LEN(F19)</f>
        <v>100</v>
      </c>
      <c r="H19" s="7" t="str">
        <f aca="false">IF(G19&lt;=160,"1 SMS",ROUNDUP(G19/153,0)&amp;" SMS")</f>
        <v>1 SMS</v>
      </c>
      <c r="I19" s="8" t="s">
        <v>167</v>
      </c>
      <c r="J19" s="7" t="n">
        <f aca="false">LEN(I19)</f>
        <v>83</v>
      </c>
      <c r="K19" s="7" t="str">
        <f aca="false">IF(J19&lt;=160,"1 SMS",ROUNDUP(J19/153,0)&amp;" SMS")</f>
        <v>1 SMS</v>
      </c>
      <c r="L19" s="7" t="s">
        <v>168</v>
      </c>
      <c r="M19" s="8"/>
      <c r="N19" s="8" t="s">
        <v>169</v>
      </c>
      <c r="O19" s="8"/>
    </row>
    <row r="20" customFormat="false" ht="23.85" hidden="false" customHeight="false" outlineLevel="0" collapsed="false">
      <c r="A20" s="9" t="s">
        <v>14</v>
      </c>
      <c r="B20" s="7" t="s">
        <v>121</v>
      </c>
      <c r="C20" s="7" t="s">
        <v>170</v>
      </c>
      <c r="D20" s="7" t="s">
        <v>171</v>
      </c>
      <c r="E20" s="7" t="s">
        <v>56</v>
      </c>
      <c r="F20" s="8" t="s">
        <v>172</v>
      </c>
      <c r="G20" s="7" t="n">
        <f aca="false">LEN(F20)</f>
        <v>75</v>
      </c>
      <c r="H20" s="7" t="str">
        <f aca="false">IF(G20&lt;=160,"1 SMS",ROUNDUP(G20/153,0)&amp;" SMS")</f>
        <v>1 SMS</v>
      </c>
      <c r="I20" s="8" t="s">
        <v>173</v>
      </c>
      <c r="J20" s="7" t="n">
        <f aca="false">LEN(I20)</f>
        <v>69</v>
      </c>
      <c r="K20" s="7" t="str">
        <f aca="false">IF(J20&lt;=160,"1 SMS",ROUNDUP(J20/153,0)&amp;" SMS")</f>
        <v>1 SMS</v>
      </c>
      <c r="L20" s="7" t="s">
        <v>79</v>
      </c>
      <c r="M20" s="8"/>
      <c r="N20" s="8" t="s">
        <v>174</v>
      </c>
      <c r="O20" s="8"/>
    </row>
    <row r="21" customFormat="false" ht="35.05" hidden="false" customHeight="false" outlineLevel="0" collapsed="false">
      <c r="A21" s="9" t="s">
        <v>14</v>
      </c>
      <c r="B21" s="7" t="s">
        <v>121</v>
      </c>
      <c r="C21" s="7" t="s">
        <v>175</v>
      </c>
      <c r="D21" s="7" t="s">
        <v>176</v>
      </c>
      <c r="E21" s="7" t="s">
        <v>56</v>
      </c>
      <c r="F21" s="8" t="s">
        <v>177</v>
      </c>
      <c r="G21" s="7" t="n">
        <f aca="false">LEN(F21)</f>
        <v>119</v>
      </c>
      <c r="H21" s="7" t="str">
        <f aca="false">IF(G21&lt;=160,"1 SMS",ROUNDUP(G21/153,0)&amp;" SMS")</f>
        <v>1 SMS</v>
      </c>
      <c r="I21" s="8" t="s">
        <v>178</v>
      </c>
      <c r="J21" s="7" t="n">
        <f aca="false">LEN(I21)</f>
        <v>136</v>
      </c>
      <c r="K21" s="7" t="str">
        <f aca="false">IF(J21&lt;=160,"1 SMS",ROUNDUP(J21/153,0)&amp;" SMS")</f>
        <v>1 SMS</v>
      </c>
      <c r="L21" s="7" t="s">
        <v>102</v>
      </c>
      <c r="M21" s="8"/>
      <c r="N21" s="8" t="s">
        <v>179</v>
      </c>
      <c r="O21" s="8" t="s">
        <v>180</v>
      </c>
    </row>
    <row r="22" customFormat="false" ht="35.05" hidden="false" customHeight="false" outlineLevel="0" collapsed="false">
      <c r="A22" s="9" t="s">
        <v>14</v>
      </c>
      <c r="B22" s="7" t="s">
        <v>181</v>
      </c>
      <c r="C22" s="7" t="s">
        <v>182</v>
      </c>
      <c r="D22" s="7" t="s">
        <v>183</v>
      </c>
      <c r="E22" s="7" t="s">
        <v>56</v>
      </c>
      <c r="F22" s="8" t="s">
        <v>184</v>
      </c>
      <c r="G22" s="7" t="n">
        <f aca="false">LEN(F22)</f>
        <v>126</v>
      </c>
      <c r="H22" s="7" t="str">
        <f aca="false">IF(G22&lt;=160,"1 SMS",ROUNDUP(G22/153,0)&amp;" SMS")</f>
        <v>1 SMS</v>
      </c>
      <c r="I22" s="8" t="s">
        <v>185</v>
      </c>
      <c r="J22" s="7" t="n">
        <f aca="false">LEN(I22)</f>
        <v>123</v>
      </c>
      <c r="K22" s="7" t="str">
        <f aca="false">IF(J22&lt;=160,"1 SMS",ROUNDUP(J22/153,0)&amp;" SMS")</f>
        <v>1 SMS</v>
      </c>
      <c r="L22" s="7" t="s">
        <v>108</v>
      </c>
      <c r="M22" s="8"/>
      <c r="N22" s="8" t="s">
        <v>186</v>
      </c>
      <c r="O22" s="8"/>
    </row>
    <row r="23" customFormat="false" ht="23.85" hidden="false" customHeight="false" outlineLevel="0" collapsed="false">
      <c r="A23" s="9" t="s">
        <v>14</v>
      </c>
      <c r="B23" s="7" t="s">
        <v>181</v>
      </c>
      <c r="C23" s="7" t="s">
        <v>187</v>
      </c>
      <c r="D23" s="7" t="s">
        <v>188</v>
      </c>
      <c r="E23" s="7" t="s">
        <v>56</v>
      </c>
      <c r="F23" s="8" t="s">
        <v>189</v>
      </c>
      <c r="G23" s="7" t="n">
        <f aca="false">LEN(F23)</f>
        <v>84</v>
      </c>
      <c r="H23" s="7" t="str">
        <f aca="false">IF(G23&lt;=160,"1 SMS",ROUNDUP(G23/153,0)&amp;" SMS")</f>
        <v>1 SMS</v>
      </c>
      <c r="I23" s="8" t="s">
        <v>190</v>
      </c>
      <c r="J23" s="7" t="n">
        <f aca="false">LEN(I23)</f>
        <v>107</v>
      </c>
      <c r="K23" s="7" t="str">
        <f aca="false">IF(J23&lt;=160,"1 SMS",ROUNDUP(J23/153,0)&amp;" SMS")</f>
        <v>1 SMS</v>
      </c>
      <c r="L23" s="7" t="s">
        <v>79</v>
      </c>
      <c r="M23" s="8"/>
      <c r="N23" s="8" t="s">
        <v>191</v>
      </c>
      <c r="O23" s="8"/>
    </row>
    <row r="24" customFormat="false" ht="35.05" hidden="false" customHeight="false" outlineLevel="0" collapsed="false">
      <c r="A24" s="9" t="s">
        <v>14</v>
      </c>
      <c r="B24" s="7" t="s">
        <v>181</v>
      </c>
      <c r="C24" s="7" t="s">
        <v>192</v>
      </c>
      <c r="D24" s="7" t="s">
        <v>193</v>
      </c>
      <c r="E24" s="7" t="s">
        <v>56</v>
      </c>
      <c r="F24" s="8" t="s">
        <v>194</v>
      </c>
      <c r="G24" s="7" t="n">
        <f aca="false">LEN(F24)</f>
        <v>135</v>
      </c>
      <c r="H24" s="7" t="str">
        <f aca="false">IF(G24&lt;=160,"1 SMS",ROUNDUP(G24/153,0)&amp;" SMS")</f>
        <v>1 SMS</v>
      </c>
      <c r="I24" s="8" t="s">
        <v>195</v>
      </c>
      <c r="J24" s="7" t="n">
        <f aca="false">LEN(I24)</f>
        <v>143</v>
      </c>
      <c r="K24" s="7" t="str">
        <f aca="false">IF(J24&lt;=160,"1 SMS",ROUNDUP(J24/153,0)&amp;" SMS")</f>
        <v>1 SMS</v>
      </c>
      <c r="L24" s="7" t="s">
        <v>108</v>
      </c>
      <c r="M24" s="8"/>
      <c r="N24" s="8" t="s">
        <v>196</v>
      </c>
      <c r="O24" s="8"/>
    </row>
    <row r="25" customFormat="false" ht="35.05" hidden="false" customHeight="false" outlineLevel="0" collapsed="false">
      <c r="A25" s="9" t="s">
        <v>14</v>
      </c>
      <c r="B25" s="7" t="s">
        <v>181</v>
      </c>
      <c r="C25" s="7" t="s">
        <v>197</v>
      </c>
      <c r="D25" s="7" t="s">
        <v>198</v>
      </c>
      <c r="E25" s="7" t="s">
        <v>56</v>
      </c>
      <c r="F25" s="8" t="s">
        <v>199</v>
      </c>
      <c r="G25" s="7" t="n">
        <f aca="false">LEN(F25)</f>
        <v>143</v>
      </c>
      <c r="H25" s="7" t="str">
        <f aca="false">IF(G25&lt;=160,"1 SMS",ROUNDUP(G25/153,0)&amp;" SMS")</f>
        <v>1 SMS</v>
      </c>
      <c r="I25" s="8" t="s">
        <v>200</v>
      </c>
      <c r="J25" s="7" t="n">
        <f aca="false">LEN(I25)</f>
        <v>138</v>
      </c>
      <c r="K25" s="7" t="str">
        <f aca="false">IF(J25&lt;=160,"1 SMS",ROUNDUP(J25/153,0)&amp;" SMS")</f>
        <v>1 SMS</v>
      </c>
      <c r="L25" s="7" t="s">
        <v>108</v>
      </c>
      <c r="M25" s="8"/>
      <c r="N25" s="8" t="s">
        <v>201</v>
      </c>
      <c r="O25" s="8"/>
    </row>
    <row r="26" customFormat="false" ht="35.05" hidden="false" customHeight="false" outlineLevel="0" collapsed="false">
      <c r="A26" s="9" t="s">
        <v>14</v>
      </c>
      <c r="B26" s="7" t="s">
        <v>181</v>
      </c>
      <c r="C26" s="7" t="s">
        <v>202</v>
      </c>
      <c r="D26" s="7" t="s">
        <v>203</v>
      </c>
      <c r="E26" s="7" t="s">
        <v>56</v>
      </c>
      <c r="F26" s="8" t="s">
        <v>204</v>
      </c>
      <c r="G26" s="7" t="n">
        <f aca="false">LEN(F26)</f>
        <v>101</v>
      </c>
      <c r="H26" s="7" t="str">
        <f aca="false">IF(G26&lt;=160,"1 SMS",ROUNDUP(G26/153,0)&amp;" SMS")</f>
        <v>1 SMS</v>
      </c>
      <c r="I26" s="8" t="s">
        <v>205</v>
      </c>
      <c r="J26" s="7" t="n">
        <f aca="false">LEN(I26)</f>
        <v>109</v>
      </c>
      <c r="K26" s="7" t="str">
        <f aca="false">IF(J26&lt;=160,"1 SMS",ROUNDUP(J26/153,0)&amp;" SMS")</f>
        <v>1 SMS</v>
      </c>
      <c r="L26" s="7" t="s">
        <v>79</v>
      </c>
      <c r="M26" s="8"/>
      <c r="N26" s="8" t="s">
        <v>206</v>
      </c>
      <c r="O26" s="8"/>
    </row>
    <row r="27" customFormat="false" ht="35.05" hidden="false" customHeight="false" outlineLevel="0" collapsed="false">
      <c r="A27" s="9" t="s">
        <v>14</v>
      </c>
      <c r="B27" s="7" t="s">
        <v>181</v>
      </c>
      <c r="C27" s="7" t="s">
        <v>207</v>
      </c>
      <c r="D27" s="7" t="s">
        <v>208</v>
      </c>
      <c r="E27" s="7" t="s">
        <v>56</v>
      </c>
      <c r="F27" s="8" t="s">
        <v>209</v>
      </c>
      <c r="G27" s="7" t="n">
        <f aca="false">LEN(F27)</f>
        <v>149</v>
      </c>
      <c r="H27" s="7" t="str">
        <f aca="false">IF(G27&lt;=160,"1 SMS",ROUNDUP(G27/153,0)&amp;" SMS")</f>
        <v>1 SMS</v>
      </c>
      <c r="I27" s="8" t="s">
        <v>210</v>
      </c>
      <c r="J27" s="7" t="n">
        <f aca="false">LEN(I27)</f>
        <v>159</v>
      </c>
      <c r="K27" s="7" t="str">
        <f aca="false">IF(J27&lt;=160,"1 SMS",ROUNDUP(J27/153,0)&amp;" SMS")</f>
        <v>1 SMS</v>
      </c>
      <c r="L27" s="7" t="s">
        <v>108</v>
      </c>
      <c r="M27" s="8"/>
      <c r="N27" s="8" t="s">
        <v>211</v>
      </c>
      <c r="O27" s="8"/>
    </row>
    <row r="28" customFormat="false" ht="23.85" hidden="false" customHeight="false" outlineLevel="0" collapsed="false">
      <c r="A28" s="9" t="s">
        <v>14</v>
      </c>
      <c r="B28" s="7" t="s">
        <v>181</v>
      </c>
      <c r="C28" s="7" t="s">
        <v>212</v>
      </c>
      <c r="D28" s="7" t="s">
        <v>213</v>
      </c>
      <c r="E28" s="7" t="s">
        <v>56</v>
      </c>
      <c r="F28" s="8" t="s">
        <v>214</v>
      </c>
      <c r="G28" s="7" t="n">
        <f aca="false">LEN(F28)</f>
        <v>110</v>
      </c>
      <c r="H28" s="7" t="str">
        <f aca="false">IF(G28&lt;=160,"1 SMS",ROUNDUP(G28/153,0)&amp;" SMS")</f>
        <v>1 SMS</v>
      </c>
      <c r="I28" s="8" t="s">
        <v>215</v>
      </c>
      <c r="J28" s="7" t="n">
        <f aca="false">LEN(I28)</f>
        <v>92</v>
      </c>
      <c r="K28" s="7" t="str">
        <f aca="false">IF(J28&lt;=160,"1 SMS",ROUNDUP(J28/153,0)&amp;" SMS")</f>
        <v>1 SMS</v>
      </c>
      <c r="L28" s="7" t="s">
        <v>79</v>
      </c>
      <c r="M28" s="8"/>
      <c r="N28" s="8" t="s">
        <v>216</v>
      </c>
      <c r="O28" s="8"/>
    </row>
    <row r="29" customFormat="false" ht="23.85" hidden="false" customHeight="false" outlineLevel="0" collapsed="false">
      <c r="A29" s="9" t="s">
        <v>14</v>
      </c>
      <c r="B29" s="7" t="s">
        <v>181</v>
      </c>
      <c r="C29" s="7" t="s">
        <v>217</v>
      </c>
      <c r="D29" s="7" t="s">
        <v>218</v>
      </c>
      <c r="E29" s="7" t="s">
        <v>56</v>
      </c>
      <c r="F29" s="8" t="s">
        <v>219</v>
      </c>
      <c r="G29" s="7" t="n">
        <f aca="false">LEN(F29)</f>
        <v>75</v>
      </c>
      <c r="H29" s="7" t="str">
        <f aca="false">IF(G29&lt;=160,"1 SMS",ROUNDUP(G29/153,0)&amp;" SMS")</f>
        <v>1 SMS</v>
      </c>
      <c r="I29" s="8" t="s">
        <v>220</v>
      </c>
      <c r="J29" s="7" t="n">
        <f aca="false">LEN(I29)</f>
        <v>71</v>
      </c>
      <c r="K29" s="7" t="str">
        <f aca="false">IF(J29&lt;=160,"1 SMS",ROUNDUP(J29/153,0)&amp;" SMS")</f>
        <v>1 SMS</v>
      </c>
      <c r="L29" s="7" t="s">
        <v>79</v>
      </c>
      <c r="M29" s="8"/>
      <c r="N29" s="8" t="s">
        <v>221</v>
      </c>
      <c r="O29" s="8" t="s">
        <v>222</v>
      </c>
    </row>
    <row r="30" customFormat="false" ht="23.85" hidden="false" customHeight="false" outlineLevel="0" collapsed="false">
      <c r="A30" s="10" t="s">
        <v>18</v>
      </c>
      <c r="B30" s="7" t="s">
        <v>223</v>
      </c>
      <c r="C30" s="7" t="s">
        <v>224</v>
      </c>
      <c r="D30" s="7" t="s">
        <v>225</v>
      </c>
      <c r="E30" s="7" t="s">
        <v>136</v>
      </c>
      <c r="F30" s="8" t="s">
        <v>226</v>
      </c>
      <c r="G30" s="7" t="n">
        <f aca="false">LEN(F30)</f>
        <v>119</v>
      </c>
      <c r="H30" s="7" t="str">
        <f aca="false">IF(G30&lt;=160,"1 SMS",ROUNDUP(G30/153,0)&amp;" SMS")</f>
        <v>1 SMS</v>
      </c>
      <c r="I30" s="8" t="s">
        <v>227</v>
      </c>
      <c r="J30" s="7" t="n">
        <f aca="false">LEN(I30)</f>
        <v>89</v>
      </c>
      <c r="K30" s="7" t="str">
        <f aca="false">IF(J30&lt;=160,"1 SMS",ROUNDUP(J30/153,0)&amp;" SMS")</f>
        <v>1 SMS</v>
      </c>
      <c r="L30" s="7" t="s">
        <v>139</v>
      </c>
      <c r="M30" s="8"/>
      <c r="N30" s="8" t="s">
        <v>228</v>
      </c>
      <c r="O30" s="8" t="s">
        <v>229</v>
      </c>
    </row>
    <row r="31" customFormat="false" ht="23.85" hidden="false" customHeight="false" outlineLevel="0" collapsed="false">
      <c r="A31" s="10" t="s">
        <v>18</v>
      </c>
      <c r="B31" s="7" t="s">
        <v>223</v>
      </c>
      <c r="C31" s="7" t="s">
        <v>230</v>
      </c>
      <c r="D31" s="7" t="s">
        <v>231</v>
      </c>
      <c r="E31" s="7" t="s">
        <v>56</v>
      </c>
      <c r="F31" s="8" t="s">
        <v>232</v>
      </c>
      <c r="G31" s="7" t="n">
        <f aca="false">LEN(F31)</f>
        <v>64</v>
      </c>
      <c r="H31" s="7" t="str">
        <f aca="false">IF(G31&lt;=160,"1 SMS",ROUNDUP(G31/153,0)&amp;" SMS")</f>
        <v>1 SMS</v>
      </c>
      <c r="I31" s="8" t="s">
        <v>233</v>
      </c>
      <c r="J31" s="7" t="n">
        <f aca="false">LEN(I31)</f>
        <v>59</v>
      </c>
      <c r="K31" s="7" t="str">
        <f aca="false">IF(J31&lt;=160,"1 SMS",ROUNDUP(J31/153,0)&amp;" SMS")</f>
        <v>1 SMS</v>
      </c>
      <c r="L31" s="7" t="s">
        <v>58</v>
      </c>
      <c r="M31" s="8" t="s">
        <v>234</v>
      </c>
      <c r="N31" s="8" t="s">
        <v>235</v>
      </c>
      <c r="O31" s="8" t="s">
        <v>236</v>
      </c>
    </row>
    <row r="32" customFormat="false" ht="23.85" hidden="false" customHeight="false" outlineLevel="0" collapsed="false">
      <c r="A32" s="10" t="s">
        <v>18</v>
      </c>
      <c r="B32" s="7" t="s">
        <v>237</v>
      </c>
      <c r="C32" s="7" t="s">
        <v>238</v>
      </c>
      <c r="D32" s="7" t="s">
        <v>239</v>
      </c>
      <c r="E32" s="7" t="s">
        <v>56</v>
      </c>
      <c r="F32" s="8" t="s">
        <v>240</v>
      </c>
      <c r="G32" s="7" t="n">
        <f aca="false">LEN(F32)</f>
        <v>125</v>
      </c>
      <c r="H32" s="7" t="str">
        <f aca="false">IF(G32&lt;=160,"1 SMS",ROUNDUP(G32/153,0)&amp;" SMS")</f>
        <v>1 SMS</v>
      </c>
      <c r="I32" s="8" t="s">
        <v>241</v>
      </c>
      <c r="J32" s="7" t="n">
        <f aca="false">LEN(I32)</f>
        <v>115</v>
      </c>
      <c r="K32" s="7" t="str">
        <f aca="false">IF(J32&lt;=160,"1 SMS",ROUNDUP(J32/153,0)&amp;" SMS")</f>
        <v>1 SMS</v>
      </c>
      <c r="L32" s="7" t="s">
        <v>108</v>
      </c>
      <c r="M32" s="8" t="s">
        <v>242</v>
      </c>
      <c r="N32" s="8" t="s">
        <v>243</v>
      </c>
      <c r="O32" s="8"/>
    </row>
    <row r="33" customFormat="false" ht="23.85" hidden="false" customHeight="false" outlineLevel="0" collapsed="false">
      <c r="A33" s="10" t="s">
        <v>18</v>
      </c>
      <c r="B33" s="7" t="s">
        <v>244</v>
      </c>
      <c r="C33" s="7" t="s">
        <v>245</v>
      </c>
      <c r="D33" s="7" t="s">
        <v>246</v>
      </c>
      <c r="E33" s="7" t="s">
        <v>56</v>
      </c>
      <c r="F33" s="8" t="s">
        <v>247</v>
      </c>
      <c r="G33" s="7" t="n">
        <f aca="false">LEN(F33)</f>
        <v>94</v>
      </c>
      <c r="H33" s="7" t="str">
        <f aca="false">IF(G33&lt;=160,"1 SMS",ROUNDUP(G33/153,0)&amp;" SMS")</f>
        <v>1 SMS</v>
      </c>
      <c r="I33" s="8" t="s">
        <v>248</v>
      </c>
      <c r="J33" s="7" t="n">
        <f aca="false">LEN(I33)</f>
        <v>101</v>
      </c>
      <c r="K33" s="7" t="str">
        <f aca="false">IF(J33&lt;=160,"1 SMS",ROUNDUP(J33/153,0)&amp;" SMS")</f>
        <v>1 SMS</v>
      </c>
      <c r="L33" s="7" t="s">
        <v>102</v>
      </c>
      <c r="M33" s="8" t="s">
        <v>249</v>
      </c>
      <c r="N33" s="8" t="s">
        <v>250</v>
      </c>
      <c r="O33" s="8"/>
    </row>
    <row r="34" customFormat="false" ht="23.85" hidden="false" customHeight="false" outlineLevel="0" collapsed="false">
      <c r="A34" s="10" t="s">
        <v>18</v>
      </c>
      <c r="B34" s="7" t="s">
        <v>251</v>
      </c>
      <c r="C34" s="7" t="s">
        <v>252</v>
      </c>
      <c r="D34" s="7" t="s">
        <v>253</v>
      </c>
      <c r="E34" s="7" t="s">
        <v>136</v>
      </c>
      <c r="F34" s="8" t="s">
        <v>254</v>
      </c>
      <c r="G34" s="7" t="n">
        <f aca="false">LEN(F34)</f>
        <v>117</v>
      </c>
      <c r="H34" s="7" t="str">
        <f aca="false">IF(G34&lt;=160,"1 SMS",ROUNDUP(G34/153,0)&amp;" SMS")</f>
        <v>1 SMS</v>
      </c>
      <c r="I34" s="8" t="s">
        <v>255</v>
      </c>
      <c r="J34" s="7" t="n">
        <f aca="false">LEN(I34)</f>
        <v>112</v>
      </c>
      <c r="K34" s="7" t="str">
        <f aca="false">IF(J34&lt;=160,"1 SMS",ROUNDUP(J34/153,0)&amp;" SMS")</f>
        <v>1 SMS</v>
      </c>
      <c r="L34" s="7" t="s">
        <v>139</v>
      </c>
      <c r="M34" s="8" t="s">
        <v>256</v>
      </c>
      <c r="N34" s="8" t="s">
        <v>257</v>
      </c>
      <c r="O34" s="8"/>
    </row>
    <row r="35" customFormat="false" ht="23.85" hidden="false" customHeight="false" outlineLevel="0" collapsed="false">
      <c r="A35" s="10" t="s">
        <v>18</v>
      </c>
      <c r="B35" s="7" t="s">
        <v>244</v>
      </c>
      <c r="C35" s="7" t="s">
        <v>258</v>
      </c>
      <c r="D35" s="7" t="s">
        <v>259</v>
      </c>
      <c r="E35" s="7" t="s">
        <v>56</v>
      </c>
      <c r="F35" s="8" t="s">
        <v>260</v>
      </c>
      <c r="G35" s="7" t="n">
        <f aca="false">LEN(F35)</f>
        <v>116</v>
      </c>
      <c r="H35" s="7" t="str">
        <f aca="false">IF(G35&lt;=160,"1 SMS",ROUNDUP(G35/153,0)&amp;" SMS")</f>
        <v>1 SMS</v>
      </c>
      <c r="I35" s="8" t="s">
        <v>261</v>
      </c>
      <c r="J35" s="7" t="n">
        <f aca="false">LEN(I35)</f>
        <v>118</v>
      </c>
      <c r="K35" s="7" t="str">
        <f aca="false">IF(J35&lt;=160,"1 SMS",ROUNDUP(J35/153,0)&amp;" SMS")</f>
        <v>1 SMS</v>
      </c>
      <c r="L35" s="7" t="s">
        <v>108</v>
      </c>
      <c r="M35" s="8" t="s">
        <v>262</v>
      </c>
      <c r="N35" s="8" t="s">
        <v>263</v>
      </c>
      <c r="O35" s="8" t="s">
        <v>264</v>
      </c>
    </row>
    <row r="36" customFormat="false" ht="23.85" hidden="false" customHeight="false" outlineLevel="0" collapsed="false">
      <c r="A36" s="10" t="s">
        <v>18</v>
      </c>
      <c r="B36" s="7" t="s">
        <v>244</v>
      </c>
      <c r="C36" s="7" t="s">
        <v>265</v>
      </c>
      <c r="D36" s="7" t="s">
        <v>266</v>
      </c>
      <c r="E36" s="7" t="s">
        <v>56</v>
      </c>
      <c r="F36" s="8" t="s">
        <v>267</v>
      </c>
      <c r="G36" s="7" t="n">
        <f aca="false">LEN(F36)</f>
        <v>109</v>
      </c>
      <c r="H36" s="7" t="str">
        <f aca="false">IF(G36&lt;=160,"1 SMS",ROUNDUP(G36/153,0)&amp;" SMS")</f>
        <v>1 SMS</v>
      </c>
      <c r="I36" s="8" t="s">
        <v>268</v>
      </c>
      <c r="J36" s="7" t="n">
        <f aca="false">LEN(I36)</f>
        <v>93</v>
      </c>
      <c r="K36" s="7" t="str">
        <f aca="false">IF(J36&lt;=160,"1 SMS",ROUNDUP(J36/153,0)&amp;" SMS")</f>
        <v>1 SMS</v>
      </c>
      <c r="L36" s="7" t="s">
        <v>102</v>
      </c>
      <c r="M36" s="8"/>
      <c r="N36" s="8" t="s">
        <v>269</v>
      </c>
      <c r="O36" s="8" t="s">
        <v>270</v>
      </c>
    </row>
    <row r="37" customFormat="false" ht="23.85" hidden="false" customHeight="false" outlineLevel="0" collapsed="false">
      <c r="A37" s="10" t="s">
        <v>18</v>
      </c>
      <c r="B37" s="7" t="s">
        <v>244</v>
      </c>
      <c r="C37" s="7" t="s">
        <v>271</v>
      </c>
      <c r="D37" s="7" t="s">
        <v>272</v>
      </c>
      <c r="E37" s="7" t="s">
        <v>56</v>
      </c>
      <c r="F37" s="8" t="s">
        <v>273</v>
      </c>
      <c r="G37" s="7" t="n">
        <f aca="false">LEN(F37)</f>
        <v>88</v>
      </c>
      <c r="H37" s="7" t="str">
        <f aca="false">IF(G37&lt;=160,"1 SMS",ROUNDUP(G37/153,0)&amp;" SMS")</f>
        <v>1 SMS</v>
      </c>
      <c r="I37" s="8" t="s">
        <v>274</v>
      </c>
      <c r="J37" s="7" t="n">
        <f aca="false">LEN(I37)</f>
        <v>95</v>
      </c>
      <c r="K37" s="7" t="str">
        <f aca="false">IF(J37&lt;=160,"1 SMS",ROUNDUP(J37/153,0)&amp;" SMS")</f>
        <v>1 SMS</v>
      </c>
      <c r="L37" s="7" t="s">
        <v>102</v>
      </c>
      <c r="M37" s="8"/>
      <c r="N37" s="8" t="s">
        <v>275</v>
      </c>
      <c r="O37" s="8"/>
    </row>
    <row r="38" customFormat="false" ht="35.05" hidden="false" customHeight="false" outlineLevel="0" collapsed="false">
      <c r="A38" s="11" t="s">
        <v>22</v>
      </c>
      <c r="B38" s="7" t="s">
        <v>276</v>
      </c>
      <c r="C38" s="7" t="s">
        <v>277</v>
      </c>
      <c r="D38" s="7" t="s">
        <v>278</v>
      </c>
      <c r="E38" s="7" t="s">
        <v>56</v>
      </c>
      <c r="F38" s="8" t="s">
        <v>279</v>
      </c>
      <c r="G38" s="7" t="n">
        <f aca="false">LEN(F38)</f>
        <v>136</v>
      </c>
      <c r="H38" s="7" t="str">
        <f aca="false">IF(G38&lt;=160,"1 SMS",ROUNDUP(G38/153,0)&amp;" SMS")</f>
        <v>1 SMS</v>
      </c>
      <c r="I38" s="8" t="s">
        <v>280</v>
      </c>
      <c r="J38" s="7" t="n">
        <f aca="false">LEN(I38)</f>
        <v>125</v>
      </c>
      <c r="K38" s="7" t="str">
        <f aca="false">IF(J38&lt;=160,"1 SMS",ROUNDUP(J38/153,0)&amp;" SMS")</f>
        <v>1 SMS</v>
      </c>
      <c r="L38" s="7" t="s">
        <v>108</v>
      </c>
      <c r="M38" s="8"/>
      <c r="N38" s="8" t="s">
        <v>281</v>
      </c>
      <c r="O38" s="8"/>
    </row>
    <row r="39" customFormat="false" ht="35.05" hidden="false" customHeight="false" outlineLevel="0" collapsed="false">
      <c r="A39" s="11" t="s">
        <v>22</v>
      </c>
      <c r="B39" s="7" t="s">
        <v>276</v>
      </c>
      <c r="C39" s="7" t="s">
        <v>282</v>
      </c>
      <c r="D39" s="7" t="s">
        <v>283</v>
      </c>
      <c r="E39" s="7" t="s">
        <v>56</v>
      </c>
      <c r="F39" s="8" t="s">
        <v>284</v>
      </c>
      <c r="G39" s="7" t="n">
        <f aca="false">LEN(F39)</f>
        <v>115</v>
      </c>
      <c r="H39" s="7" t="str">
        <f aca="false">IF(G39&lt;=160,"1 SMS",ROUNDUP(G39/153,0)&amp;" SMS")</f>
        <v>1 SMS</v>
      </c>
      <c r="I39" s="8" t="s">
        <v>285</v>
      </c>
      <c r="J39" s="7" t="n">
        <f aca="false">LEN(I39)</f>
        <v>133</v>
      </c>
      <c r="K39" s="7" t="str">
        <f aca="false">IF(J39&lt;=160,"1 SMS",ROUNDUP(J39/153,0)&amp;" SMS")</f>
        <v>1 SMS</v>
      </c>
      <c r="L39" s="7" t="s">
        <v>108</v>
      </c>
      <c r="M39" s="8"/>
      <c r="N39" s="8" t="s">
        <v>286</v>
      </c>
      <c r="O39" s="8"/>
    </row>
    <row r="40" customFormat="false" ht="23.85" hidden="false" customHeight="false" outlineLevel="0" collapsed="false">
      <c r="A40" s="11" t="s">
        <v>22</v>
      </c>
      <c r="B40" s="7" t="s">
        <v>276</v>
      </c>
      <c r="C40" s="7" t="s">
        <v>287</v>
      </c>
      <c r="D40" s="7" t="s">
        <v>288</v>
      </c>
      <c r="E40" s="7" t="s">
        <v>56</v>
      </c>
      <c r="F40" s="8" t="s">
        <v>160</v>
      </c>
      <c r="G40" s="7" t="n">
        <f aca="false">LEN(F40)</f>
        <v>108</v>
      </c>
      <c r="H40" s="7" t="str">
        <f aca="false">IF(G40&lt;=160,"1 SMS",ROUNDUP(G40/153,0)&amp;" SMS")</f>
        <v>1 SMS</v>
      </c>
      <c r="I40" s="8" t="s">
        <v>161</v>
      </c>
      <c r="J40" s="7" t="n">
        <f aca="false">LEN(I40)</f>
        <v>102</v>
      </c>
      <c r="K40" s="7" t="str">
        <f aca="false">IF(J40&lt;=160,"1 SMS",ROUNDUP(J40/153,0)&amp;" SMS")</f>
        <v>1 SMS</v>
      </c>
      <c r="L40" s="7" t="s">
        <v>108</v>
      </c>
      <c r="M40" s="8"/>
      <c r="N40" s="8" t="s">
        <v>289</v>
      </c>
      <c r="O40" s="8" t="s">
        <v>290</v>
      </c>
    </row>
    <row r="41" customFormat="false" ht="23.85" hidden="false" customHeight="false" outlineLevel="0" collapsed="false">
      <c r="A41" s="11" t="s">
        <v>22</v>
      </c>
      <c r="B41" s="7" t="s">
        <v>276</v>
      </c>
      <c r="C41" s="7" t="s">
        <v>291</v>
      </c>
      <c r="D41" s="7" t="s">
        <v>292</v>
      </c>
      <c r="E41" s="7" t="s">
        <v>56</v>
      </c>
      <c r="F41" s="8" t="s">
        <v>293</v>
      </c>
      <c r="G41" s="7" t="n">
        <f aca="false">LEN(F41)</f>
        <v>112</v>
      </c>
      <c r="H41" s="7" t="str">
        <f aca="false">IF(G41&lt;=160,"1 SMS",ROUNDUP(G41/153,0)&amp;" SMS")</f>
        <v>1 SMS</v>
      </c>
      <c r="I41" s="8" t="s">
        <v>294</v>
      </c>
      <c r="J41" s="7" t="n">
        <f aca="false">LEN(I41)</f>
        <v>107</v>
      </c>
      <c r="K41" s="7" t="str">
        <f aca="false">IF(J41&lt;=160,"1 SMS",ROUNDUP(J41/153,0)&amp;" SMS")</f>
        <v>1 SMS</v>
      </c>
      <c r="L41" s="7" t="s">
        <v>108</v>
      </c>
      <c r="M41" s="8"/>
      <c r="N41" s="8" t="s">
        <v>295</v>
      </c>
      <c r="O41" s="8"/>
    </row>
    <row r="42" customFormat="false" ht="23.85" hidden="false" customHeight="false" outlineLevel="0" collapsed="false">
      <c r="A42" s="11" t="s">
        <v>22</v>
      </c>
      <c r="B42" s="7" t="s">
        <v>296</v>
      </c>
      <c r="C42" s="7" t="s">
        <v>297</v>
      </c>
      <c r="D42" s="7" t="s">
        <v>298</v>
      </c>
      <c r="E42" s="7" t="s">
        <v>56</v>
      </c>
      <c r="F42" s="8" t="s">
        <v>299</v>
      </c>
      <c r="G42" s="7" t="n">
        <f aca="false">LEN(F42)</f>
        <v>84</v>
      </c>
      <c r="H42" s="7" t="str">
        <f aca="false">IF(G42&lt;=160,"1 SMS",ROUNDUP(G42/153,0)&amp;" SMS")</f>
        <v>1 SMS</v>
      </c>
      <c r="I42" s="8" t="s">
        <v>300</v>
      </c>
      <c r="J42" s="7" t="n">
        <f aca="false">LEN(I42)</f>
        <v>102</v>
      </c>
      <c r="K42" s="7" t="str">
        <f aca="false">IF(J42&lt;=160,"1 SMS",ROUNDUP(J42/153,0)&amp;" SMS")</f>
        <v>1 SMS</v>
      </c>
      <c r="L42" s="7" t="s">
        <v>102</v>
      </c>
      <c r="M42" s="8" t="s">
        <v>301</v>
      </c>
      <c r="N42" s="8" t="s">
        <v>302</v>
      </c>
      <c r="O42" s="8"/>
    </row>
    <row r="43" customFormat="false" ht="35.05" hidden="false" customHeight="false" outlineLevel="0" collapsed="false">
      <c r="A43" s="11" t="s">
        <v>22</v>
      </c>
      <c r="B43" s="7" t="s">
        <v>303</v>
      </c>
      <c r="C43" s="7" t="s">
        <v>304</v>
      </c>
      <c r="D43" s="7" t="s">
        <v>305</v>
      </c>
      <c r="E43" s="7" t="s">
        <v>56</v>
      </c>
      <c r="F43" s="8" t="s">
        <v>306</v>
      </c>
      <c r="G43" s="7" t="n">
        <f aca="false">LEN(F43)</f>
        <v>138</v>
      </c>
      <c r="H43" s="7" t="str">
        <f aca="false">IF(G43&lt;=160,"1 SMS",ROUNDUP(G43/153,0)&amp;" SMS")</f>
        <v>1 SMS</v>
      </c>
      <c r="I43" s="8" t="s">
        <v>307</v>
      </c>
      <c r="J43" s="7" t="n">
        <f aca="false">LEN(I43)</f>
        <v>138</v>
      </c>
      <c r="K43" s="7" t="str">
        <f aca="false">IF(J43&lt;=160,"1 SMS",ROUNDUP(J43/153,0)&amp;" SMS")</f>
        <v>1 SMS</v>
      </c>
      <c r="L43" s="7" t="s">
        <v>102</v>
      </c>
      <c r="M43" s="8"/>
      <c r="N43" s="8" t="s">
        <v>308</v>
      </c>
      <c r="O43" s="8" t="s">
        <v>309</v>
      </c>
    </row>
    <row r="44" customFormat="false" ht="23.85" hidden="false" customHeight="false" outlineLevel="0" collapsed="false">
      <c r="A44" s="11" t="s">
        <v>22</v>
      </c>
      <c r="B44" s="7" t="s">
        <v>310</v>
      </c>
      <c r="C44" s="7" t="s">
        <v>311</v>
      </c>
      <c r="D44" s="7" t="s">
        <v>312</v>
      </c>
      <c r="E44" s="7" t="s">
        <v>56</v>
      </c>
      <c r="F44" s="8" t="s">
        <v>313</v>
      </c>
      <c r="G44" s="7" t="n">
        <f aca="false">LEN(F44)</f>
        <v>100</v>
      </c>
      <c r="H44" s="7" t="str">
        <f aca="false">IF(G44&lt;=160,"1 SMS",ROUNDUP(G44/153,0)&amp;" SMS")</f>
        <v>1 SMS</v>
      </c>
      <c r="I44" s="8" t="s">
        <v>314</v>
      </c>
      <c r="J44" s="7" t="n">
        <f aca="false">LEN(I44)</f>
        <v>121</v>
      </c>
      <c r="K44" s="7" t="str">
        <f aca="false">IF(J44&lt;=160,"1 SMS",ROUNDUP(J44/153,0)&amp;" SMS")</f>
        <v>1 SMS</v>
      </c>
      <c r="L44" s="7" t="s">
        <v>79</v>
      </c>
      <c r="M44" s="8"/>
      <c r="N44" s="8" t="s">
        <v>315</v>
      </c>
      <c r="O44" s="8"/>
    </row>
    <row r="45" customFormat="false" ht="35.05" hidden="false" customHeight="false" outlineLevel="0" collapsed="false">
      <c r="A45" s="11" t="s">
        <v>22</v>
      </c>
      <c r="B45" s="7" t="s">
        <v>276</v>
      </c>
      <c r="C45" s="7" t="s">
        <v>316</v>
      </c>
      <c r="D45" s="7" t="s">
        <v>317</v>
      </c>
      <c r="E45" s="7" t="s">
        <v>56</v>
      </c>
      <c r="F45" s="8" t="s">
        <v>318</v>
      </c>
      <c r="G45" s="7" t="n">
        <f aca="false">LEN(F45)</f>
        <v>141</v>
      </c>
      <c r="H45" s="7" t="str">
        <f aca="false">IF(G45&lt;=160,"1 SMS",ROUNDUP(G45/153,0)&amp;" SMS")</f>
        <v>1 SMS</v>
      </c>
      <c r="I45" s="8" t="s">
        <v>319</v>
      </c>
      <c r="J45" s="7" t="n">
        <f aca="false">LEN(I45)</f>
        <v>131</v>
      </c>
      <c r="K45" s="7" t="str">
        <f aca="false">IF(J45&lt;=160,"1 SMS",ROUNDUP(J45/153,0)&amp;" SMS")</f>
        <v>1 SMS</v>
      </c>
      <c r="L45" s="7" t="s">
        <v>108</v>
      </c>
      <c r="M45" s="8"/>
      <c r="N45" s="8" t="s">
        <v>320</v>
      </c>
      <c r="O45" s="8"/>
    </row>
    <row r="46" customFormat="false" ht="23.85" hidden="false" customHeight="false" outlineLevel="0" collapsed="false">
      <c r="A46" s="11" t="s">
        <v>22</v>
      </c>
      <c r="B46" s="7" t="s">
        <v>296</v>
      </c>
      <c r="C46" s="7" t="s">
        <v>321</v>
      </c>
      <c r="D46" s="7" t="s">
        <v>322</v>
      </c>
      <c r="E46" s="7" t="s">
        <v>56</v>
      </c>
      <c r="F46" s="8" t="s">
        <v>323</v>
      </c>
      <c r="G46" s="7" t="n">
        <f aca="false">LEN(F46)</f>
        <v>100</v>
      </c>
      <c r="H46" s="7" t="str">
        <f aca="false">IF(G46&lt;=160,"1 SMS",ROUNDUP(G46/153,0)&amp;" SMS")</f>
        <v>1 SMS</v>
      </c>
      <c r="I46" s="8" t="s">
        <v>324</v>
      </c>
      <c r="J46" s="7" t="n">
        <f aca="false">LEN(I46)</f>
        <v>91</v>
      </c>
      <c r="K46" s="7" t="str">
        <f aca="false">IF(J46&lt;=160,"1 SMS",ROUNDUP(J46/153,0)&amp;" SMS")</f>
        <v>1 SMS</v>
      </c>
      <c r="L46" s="7" t="s">
        <v>108</v>
      </c>
      <c r="M46" s="8"/>
      <c r="N46" s="8" t="s">
        <v>325</v>
      </c>
      <c r="O46" s="8"/>
    </row>
    <row r="47" customFormat="false" ht="23.85" hidden="false" customHeight="false" outlineLevel="0" collapsed="false">
      <c r="A47" s="12" t="s">
        <v>26</v>
      </c>
      <c r="B47" s="7" t="s">
        <v>326</v>
      </c>
      <c r="C47" s="7" t="s">
        <v>327</v>
      </c>
      <c r="D47" s="7" t="s">
        <v>328</v>
      </c>
      <c r="E47" s="7" t="s">
        <v>56</v>
      </c>
      <c r="F47" s="8" t="s">
        <v>329</v>
      </c>
      <c r="G47" s="7" t="n">
        <f aca="false">LEN(F47)</f>
        <v>104</v>
      </c>
      <c r="H47" s="7" t="str">
        <f aca="false">IF(G47&lt;=160,"1 SMS",ROUNDUP(G47/153,0)&amp;" SMS")</f>
        <v>1 SMS</v>
      </c>
      <c r="I47" s="8" t="s">
        <v>330</v>
      </c>
      <c r="J47" s="7" t="n">
        <f aca="false">LEN(I47)</f>
        <v>92</v>
      </c>
      <c r="K47" s="7" t="str">
        <f aca="false">IF(J47&lt;=160,"1 SMS",ROUNDUP(J47/153,0)&amp;" SMS")</f>
        <v>1 SMS</v>
      </c>
      <c r="L47" s="7" t="s">
        <v>79</v>
      </c>
      <c r="M47" s="8" t="s">
        <v>331</v>
      </c>
      <c r="N47" s="8" t="s">
        <v>332</v>
      </c>
      <c r="O47" s="8"/>
    </row>
    <row r="48" customFormat="false" ht="23.85" hidden="false" customHeight="false" outlineLevel="0" collapsed="false">
      <c r="A48" s="12" t="s">
        <v>26</v>
      </c>
      <c r="B48" s="7" t="s">
        <v>326</v>
      </c>
      <c r="C48" s="7" t="s">
        <v>333</v>
      </c>
      <c r="D48" s="7" t="s">
        <v>334</v>
      </c>
      <c r="E48" s="7" t="s">
        <v>56</v>
      </c>
      <c r="F48" s="8" t="s">
        <v>335</v>
      </c>
      <c r="G48" s="7" t="n">
        <f aca="false">LEN(F48)</f>
        <v>80</v>
      </c>
      <c r="H48" s="7" t="str">
        <f aca="false">IF(G48&lt;=160,"1 SMS",ROUNDUP(G48/153,0)&amp;" SMS")</f>
        <v>1 SMS</v>
      </c>
      <c r="I48" s="8" t="s">
        <v>336</v>
      </c>
      <c r="J48" s="7" t="n">
        <f aca="false">LEN(I48)</f>
        <v>70</v>
      </c>
      <c r="K48" s="7" t="str">
        <f aca="false">IF(J48&lt;=160,"1 SMS",ROUNDUP(J48/153,0)&amp;" SMS")</f>
        <v>1 SMS</v>
      </c>
      <c r="L48" s="7" t="s">
        <v>58</v>
      </c>
      <c r="M48" s="8" t="s">
        <v>337</v>
      </c>
      <c r="N48" s="8" t="s">
        <v>338</v>
      </c>
      <c r="O48" s="8"/>
    </row>
    <row r="49" customFormat="false" ht="23.85" hidden="false" customHeight="false" outlineLevel="0" collapsed="false">
      <c r="A49" s="12" t="s">
        <v>26</v>
      </c>
      <c r="B49" s="7" t="s">
        <v>339</v>
      </c>
      <c r="C49" s="7" t="s">
        <v>340</v>
      </c>
      <c r="D49" s="7" t="s">
        <v>341</v>
      </c>
      <c r="E49" s="7" t="s">
        <v>56</v>
      </c>
      <c r="F49" s="8" t="s">
        <v>342</v>
      </c>
      <c r="G49" s="7" t="n">
        <f aca="false">LEN(F49)</f>
        <v>113</v>
      </c>
      <c r="H49" s="7" t="str">
        <f aca="false">IF(G49&lt;=160,"1 SMS",ROUNDUP(G49/153,0)&amp;" SMS")</f>
        <v>1 SMS</v>
      </c>
      <c r="I49" s="8" t="s">
        <v>343</v>
      </c>
      <c r="J49" s="7" t="n">
        <f aca="false">LEN(I49)</f>
        <v>108</v>
      </c>
      <c r="K49" s="7" t="str">
        <f aca="false">IF(J49&lt;=160,"1 SMS",ROUNDUP(J49/153,0)&amp;" SMS")</f>
        <v>1 SMS</v>
      </c>
      <c r="L49" s="7" t="s">
        <v>108</v>
      </c>
      <c r="M49" s="8" t="s">
        <v>344</v>
      </c>
      <c r="N49" s="8" t="s">
        <v>345</v>
      </c>
      <c r="O49" s="8"/>
    </row>
    <row r="50" customFormat="false" ht="23.85" hidden="false" customHeight="false" outlineLevel="0" collapsed="false">
      <c r="A50" s="12" t="s">
        <v>26</v>
      </c>
      <c r="B50" s="7" t="s">
        <v>326</v>
      </c>
      <c r="C50" s="7" t="s">
        <v>346</v>
      </c>
      <c r="D50" s="7" t="s">
        <v>347</v>
      </c>
      <c r="E50" s="7" t="s">
        <v>56</v>
      </c>
      <c r="F50" s="8" t="s">
        <v>348</v>
      </c>
      <c r="G50" s="7" t="n">
        <f aca="false">LEN(F50)</f>
        <v>91</v>
      </c>
      <c r="H50" s="7" t="str">
        <f aca="false">IF(G50&lt;=160,"1 SMS",ROUNDUP(G50/153,0)&amp;" SMS")</f>
        <v>1 SMS</v>
      </c>
      <c r="I50" s="8" t="s">
        <v>349</v>
      </c>
      <c r="J50" s="7" t="n">
        <f aca="false">LEN(I50)</f>
        <v>102</v>
      </c>
      <c r="K50" s="7" t="str">
        <f aca="false">IF(J50&lt;=160,"1 SMS",ROUNDUP(J50/153,0)&amp;" SMS")</f>
        <v>1 SMS</v>
      </c>
      <c r="L50" s="7" t="s">
        <v>79</v>
      </c>
      <c r="M50" s="8"/>
      <c r="N50" s="8" t="s">
        <v>350</v>
      </c>
      <c r="O50" s="8"/>
    </row>
    <row r="51" customFormat="false" ht="35.05" hidden="false" customHeight="false" outlineLevel="0" collapsed="false">
      <c r="A51" s="12" t="s">
        <v>26</v>
      </c>
      <c r="B51" s="7" t="s">
        <v>326</v>
      </c>
      <c r="C51" s="7" t="s">
        <v>351</v>
      </c>
      <c r="D51" s="7" t="s">
        <v>352</v>
      </c>
      <c r="E51" s="7" t="s">
        <v>56</v>
      </c>
      <c r="F51" s="8" t="s">
        <v>353</v>
      </c>
      <c r="G51" s="7" t="n">
        <f aca="false">LEN(F51)</f>
        <v>131</v>
      </c>
      <c r="H51" s="7" t="str">
        <f aca="false">IF(G51&lt;=160,"1 SMS",ROUNDUP(G51/153,0)&amp;" SMS")</f>
        <v>1 SMS</v>
      </c>
      <c r="I51" s="8" t="s">
        <v>354</v>
      </c>
      <c r="J51" s="7" t="n">
        <f aca="false">LEN(I51)</f>
        <v>126</v>
      </c>
      <c r="K51" s="7" t="str">
        <f aca="false">IF(J51&lt;=160,"1 SMS",ROUNDUP(J51/153,0)&amp;" SMS")</f>
        <v>1 SMS</v>
      </c>
      <c r="L51" s="7" t="s">
        <v>108</v>
      </c>
      <c r="M51" s="8"/>
      <c r="N51" s="8" t="s">
        <v>355</v>
      </c>
      <c r="O51" s="8" t="s">
        <v>356</v>
      </c>
    </row>
    <row r="52" customFormat="false" ht="23.85" hidden="false" customHeight="false" outlineLevel="0" collapsed="false">
      <c r="A52" s="12" t="s">
        <v>26</v>
      </c>
      <c r="B52" s="7" t="s">
        <v>326</v>
      </c>
      <c r="C52" s="7" t="s">
        <v>357</v>
      </c>
      <c r="D52" s="7" t="s">
        <v>358</v>
      </c>
      <c r="E52" s="7" t="s">
        <v>359</v>
      </c>
      <c r="F52" s="8" t="s">
        <v>360</v>
      </c>
      <c r="G52" s="7" t="n">
        <f aca="false">LEN(F52)</f>
        <v>90</v>
      </c>
      <c r="H52" s="7" t="str">
        <f aca="false">IF(G52&lt;=160,"1 SMS",ROUNDUP(G52/153,0)&amp;" SMS")</f>
        <v>1 SMS</v>
      </c>
      <c r="I52" s="8" t="s">
        <v>361</v>
      </c>
      <c r="J52" s="7" t="n">
        <f aca="false">LEN(I52)</f>
        <v>84</v>
      </c>
      <c r="K52" s="7" t="str">
        <f aca="false">IF(J52&lt;=160,"1 SMS",ROUNDUP(J52/153,0)&amp;" SMS")</f>
        <v>1 SMS</v>
      </c>
      <c r="L52" s="7" t="s">
        <v>362</v>
      </c>
      <c r="M52" s="8"/>
      <c r="N52" s="8" t="s">
        <v>363</v>
      </c>
      <c r="O52" s="8" t="s">
        <v>364</v>
      </c>
    </row>
    <row r="53" customFormat="false" ht="23.85" hidden="false" customHeight="false" outlineLevel="0" collapsed="false">
      <c r="A53" s="13" t="s">
        <v>30</v>
      </c>
      <c r="B53" s="7" t="s">
        <v>365</v>
      </c>
      <c r="C53" s="7" t="s">
        <v>366</v>
      </c>
      <c r="D53" s="7"/>
      <c r="E53" s="7" t="s">
        <v>70</v>
      </c>
      <c r="F53" s="8" t="s">
        <v>367</v>
      </c>
      <c r="G53" s="7" t="n">
        <f aca="false">LEN(F53)</f>
        <v>85</v>
      </c>
      <c r="H53" s="7" t="str">
        <f aca="false">IF(G53&lt;=160,"1 SMS",ROUNDUP(G53/153,0)&amp;" SMS")</f>
        <v>1 SMS</v>
      </c>
      <c r="I53" s="8" t="s">
        <v>368</v>
      </c>
      <c r="J53" s="7" t="n">
        <f aca="false">LEN(I53)</f>
        <v>73</v>
      </c>
      <c r="K53" s="7" t="str">
        <f aca="false">IF(J53&lt;=160,"1 SMS",ROUNDUP(J53/153,0)&amp;" SMS")</f>
        <v>1 SMS</v>
      </c>
      <c r="L53" s="7"/>
      <c r="M53" s="8"/>
      <c r="N53" s="8"/>
      <c r="O53" s="8" t="s">
        <v>369</v>
      </c>
    </row>
    <row r="54" customFormat="false" ht="23.85" hidden="false" customHeight="false" outlineLevel="0" collapsed="false">
      <c r="A54" s="13" t="s">
        <v>30</v>
      </c>
      <c r="B54" s="7" t="s">
        <v>370</v>
      </c>
      <c r="C54" s="7" t="s">
        <v>371</v>
      </c>
      <c r="D54" s="7"/>
      <c r="E54" s="7" t="s">
        <v>70</v>
      </c>
      <c r="F54" s="8" t="s">
        <v>372</v>
      </c>
      <c r="G54" s="7" t="n">
        <f aca="false">LEN(F54)</f>
        <v>81</v>
      </c>
      <c r="H54" s="7" t="str">
        <f aca="false">IF(G54&lt;=160,"1 SMS",ROUNDUP(G54/153,0)&amp;" SMS")</f>
        <v>1 SMS</v>
      </c>
      <c r="I54" s="8" t="s">
        <v>373</v>
      </c>
      <c r="J54" s="7" t="n">
        <f aca="false">LEN(I54)</f>
        <v>69</v>
      </c>
      <c r="K54" s="7" t="str">
        <f aca="false">IF(J54&lt;=160,"1 SMS",ROUNDUP(J54/153,0)&amp;" SMS")</f>
        <v>1 SMS</v>
      </c>
      <c r="L54" s="7"/>
      <c r="M54" s="8"/>
      <c r="N54" s="8"/>
      <c r="O54" s="8" t="s">
        <v>374</v>
      </c>
    </row>
    <row r="55" customFormat="false" ht="23.85" hidden="false" customHeight="false" outlineLevel="0" collapsed="false">
      <c r="A55" s="13" t="s">
        <v>30</v>
      </c>
      <c r="B55" s="7" t="s">
        <v>375</v>
      </c>
      <c r="C55" s="7" t="s">
        <v>376</v>
      </c>
      <c r="D55" s="7"/>
      <c r="E55" s="7" t="s">
        <v>70</v>
      </c>
      <c r="F55" s="8" t="s">
        <v>377</v>
      </c>
      <c r="G55" s="7" t="n">
        <f aca="false">LEN(F55)</f>
        <v>69</v>
      </c>
      <c r="H55" s="7" t="str">
        <f aca="false">IF(G55&lt;=160,"1 SMS",ROUNDUP(G55/153,0)&amp;" SMS")</f>
        <v>1 SMS</v>
      </c>
      <c r="I55" s="8" t="s">
        <v>378</v>
      </c>
      <c r="J55" s="7" t="n">
        <f aca="false">LEN(I55)</f>
        <v>65</v>
      </c>
      <c r="K55" s="7" t="str">
        <f aca="false">IF(J55&lt;=160,"1 SMS",ROUNDUP(J55/153,0)&amp;" SMS")</f>
        <v>1 SMS</v>
      </c>
      <c r="L55" s="7"/>
      <c r="M55" s="8"/>
      <c r="N55" s="8"/>
      <c r="O55" s="8" t="s">
        <v>379</v>
      </c>
    </row>
    <row r="56" customFormat="false" ht="23.85" hidden="false" customHeight="false" outlineLevel="0" collapsed="false">
      <c r="A56" s="13" t="s">
        <v>30</v>
      </c>
      <c r="B56" s="7" t="s">
        <v>380</v>
      </c>
      <c r="C56" s="7" t="s">
        <v>381</v>
      </c>
      <c r="D56" s="7"/>
      <c r="E56" s="7" t="s">
        <v>70</v>
      </c>
      <c r="F56" s="8" t="s">
        <v>382</v>
      </c>
      <c r="G56" s="7" t="n">
        <f aca="false">LEN(F56)</f>
        <v>93</v>
      </c>
      <c r="H56" s="7" t="str">
        <f aca="false">IF(G56&lt;=160,"1 SMS",ROUNDUP(G56/153,0)&amp;" SMS")</f>
        <v>1 SMS</v>
      </c>
      <c r="I56" s="8" t="s">
        <v>383</v>
      </c>
      <c r="J56" s="7" t="n">
        <f aca="false">LEN(I56)</f>
        <v>118</v>
      </c>
      <c r="K56" s="7" t="str">
        <f aca="false">IF(J56&lt;=160,"1 SMS",ROUNDUP(J56/153,0)&amp;" SMS")</f>
        <v>1 SMS</v>
      </c>
      <c r="L56" s="7"/>
      <c r="M56" s="8"/>
      <c r="N56" s="8"/>
      <c r="O56" s="8" t="s">
        <v>384</v>
      </c>
    </row>
    <row r="57" customFormat="false" ht="23.85" hidden="false" customHeight="false" outlineLevel="0" collapsed="false">
      <c r="A57" s="13" t="s">
        <v>30</v>
      </c>
      <c r="B57" s="7" t="s">
        <v>385</v>
      </c>
      <c r="C57" s="7" t="s">
        <v>386</v>
      </c>
      <c r="D57" s="7"/>
      <c r="E57" s="7" t="s">
        <v>70</v>
      </c>
      <c r="F57" s="8" t="s">
        <v>387</v>
      </c>
      <c r="G57" s="7" t="n">
        <f aca="false">LEN(F57)</f>
        <v>68</v>
      </c>
      <c r="H57" s="7" t="str">
        <f aca="false">IF(G57&lt;=160,"1 SMS",ROUNDUP(G57/153,0)&amp;" SMS")</f>
        <v>1 SMS</v>
      </c>
      <c r="I57" s="8" t="s">
        <v>388</v>
      </c>
      <c r="J57" s="7" t="n">
        <f aca="false">LEN(I57)</f>
        <v>58</v>
      </c>
      <c r="K57" s="7" t="str">
        <f aca="false">IF(J57&lt;=160,"1 SMS",ROUNDUP(J57/153,0)&amp;" SMS")</f>
        <v>1 SMS</v>
      </c>
      <c r="L57" s="7"/>
      <c r="M57" s="8"/>
      <c r="N57" s="8"/>
      <c r="O57" s="8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0"/>
    <col collapsed="false" customWidth="true" hidden="false" outlineLevel="0" max="4" min="4" style="0" width="2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390</v>
      </c>
    </row>
    <row r="3" customFormat="false" ht="15" hidden="false" customHeight="false" outlineLevel="0" collapsed="false">
      <c r="A3" s="5" t="s">
        <v>391</v>
      </c>
      <c r="B3" s="5" t="s">
        <v>392</v>
      </c>
      <c r="C3" s="5" t="s">
        <v>6</v>
      </c>
      <c r="D3" s="5" t="s">
        <v>393</v>
      </c>
      <c r="E3" s="5" t="s">
        <v>394</v>
      </c>
    </row>
    <row r="4" customFormat="false" ht="15" hidden="false" customHeight="false" outlineLevel="0" collapsed="false">
      <c r="A4" s="8" t="s">
        <v>395</v>
      </c>
      <c r="B4" s="8" t="s">
        <v>396</v>
      </c>
      <c r="C4" s="8" t="s">
        <v>397</v>
      </c>
      <c r="D4" s="8" t="n">
        <v>4</v>
      </c>
      <c r="E4" s="8" t="s">
        <v>398</v>
      </c>
    </row>
    <row r="5" customFormat="false" ht="15" hidden="false" customHeight="false" outlineLevel="0" collapsed="false">
      <c r="A5" s="8" t="s">
        <v>399</v>
      </c>
      <c r="B5" s="8" t="s">
        <v>400</v>
      </c>
      <c r="C5" s="8" t="s">
        <v>401</v>
      </c>
      <c r="D5" s="8" t="n">
        <v>6</v>
      </c>
      <c r="E5" s="8" t="s">
        <v>29</v>
      </c>
    </row>
    <row r="6" customFormat="false" ht="15" hidden="false" customHeight="false" outlineLevel="0" collapsed="false">
      <c r="A6" s="8" t="s">
        <v>402</v>
      </c>
      <c r="B6" s="8" t="s">
        <v>403</v>
      </c>
      <c r="C6" s="8" t="s">
        <v>404</v>
      </c>
      <c r="D6" s="8" t="n">
        <v>10</v>
      </c>
      <c r="E6" s="8" t="s">
        <v>29</v>
      </c>
    </row>
    <row r="7" customFormat="false" ht="15" hidden="false" customHeight="false" outlineLevel="0" collapsed="false">
      <c r="A7" s="8" t="s">
        <v>405</v>
      </c>
      <c r="B7" s="8" t="s">
        <v>406</v>
      </c>
      <c r="C7" s="8" t="s">
        <v>407</v>
      </c>
      <c r="D7" s="8" t="n">
        <v>8</v>
      </c>
      <c r="E7" s="8" t="s">
        <v>29</v>
      </c>
    </row>
    <row r="8" customFormat="false" ht="15" hidden="false" customHeight="false" outlineLevel="0" collapsed="false">
      <c r="A8" s="8" t="s">
        <v>408</v>
      </c>
      <c r="B8" s="8" t="s">
        <v>409</v>
      </c>
      <c r="C8" s="8" t="s">
        <v>410</v>
      </c>
      <c r="D8" s="8" t="n">
        <v>5</v>
      </c>
      <c r="E8" s="8" t="s">
        <v>411</v>
      </c>
    </row>
    <row r="9" customFormat="false" ht="15" hidden="false" customHeight="false" outlineLevel="0" collapsed="false">
      <c r="A9" s="8" t="s">
        <v>412</v>
      </c>
      <c r="B9" s="8" t="s">
        <v>413</v>
      </c>
      <c r="C9" s="8" t="s">
        <v>414</v>
      </c>
      <c r="D9" s="8" t="n">
        <v>7</v>
      </c>
      <c r="E9" s="8" t="s">
        <v>25</v>
      </c>
    </row>
    <row r="10" customFormat="false" ht="15" hidden="false" customHeight="false" outlineLevel="0" collapsed="false">
      <c r="A10" s="8" t="s">
        <v>415</v>
      </c>
      <c r="B10" s="8" t="s">
        <v>416</v>
      </c>
      <c r="C10" s="8" t="s">
        <v>417</v>
      </c>
      <c r="D10" s="8" t="n">
        <v>10</v>
      </c>
      <c r="E10" s="8" t="s">
        <v>29</v>
      </c>
    </row>
    <row r="11" customFormat="false" ht="15" hidden="false" customHeight="false" outlineLevel="0" collapsed="false">
      <c r="A11" s="8" t="s">
        <v>418</v>
      </c>
      <c r="B11" s="8" t="s">
        <v>419</v>
      </c>
      <c r="C11" s="8" t="s">
        <v>420</v>
      </c>
      <c r="D11" s="8" t="n">
        <v>17</v>
      </c>
      <c r="E11" s="8" t="s">
        <v>421</v>
      </c>
    </row>
    <row r="13" customFormat="false" ht="15" hidden="false" customHeight="false" outlineLevel="0" collapsed="false">
      <c r="A13" s="3" t="s">
        <v>422</v>
      </c>
    </row>
    <row r="14" customFormat="false" ht="15" hidden="false" customHeight="false" outlineLevel="0" collapsed="false">
      <c r="A14" s="5" t="s">
        <v>423</v>
      </c>
      <c r="B14" s="5" t="s">
        <v>424</v>
      </c>
      <c r="C14" s="5" t="s">
        <v>425</v>
      </c>
      <c r="D14" s="5" t="s">
        <v>426</v>
      </c>
      <c r="E14" s="5" t="s">
        <v>427</v>
      </c>
    </row>
    <row r="15" customFormat="false" ht="15" hidden="false" customHeight="false" outlineLevel="0" collapsed="false">
      <c r="A15" s="8" t="s">
        <v>428</v>
      </c>
      <c r="B15" s="8" t="s">
        <v>429</v>
      </c>
      <c r="C15" s="8" t="s">
        <v>430</v>
      </c>
      <c r="D15" s="8" t="s">
        <v>431</v>
      </c>
      <c r="E15" s="8" t="s">
        <v>432</v>
      </c>
    </row>
    <row r="16" customFormat="false" ht="15" hidden="false" customHeight="false" outlineLevel="0" collapsed="false">
      <c r="A16" s="8" t="s">
        <v>433</v>
      </c>
      <c r="B16" s="8" t="s">
        <v>429</v>
      </c>
      <c r="C16" s="8" t="s">
        <v>434</v>
      </c>
      <c r="D16" s="8" t="s">
        <v>435</v>
      </c>
      <c r="E16" s="8" t="s">
        <v>436</v>
      </c>
    </row>
    <row r="17" customFormat="false" ht="15" hidden="false" customHeight="false" outlineLevel="0" collapsed="false">
      <c r="A17" s="8" t="s">
        <v>437</v>
      </c>
      <c r="B17" s="8" t="s">
        <v>429</v>
      </c>
      <c r="C17" s="8" t="s">
        <v>438</v>
      </c>
      <c r="D17" s="8" t="s">
        <v>430</v>
      </c>
      <c r="E17" s="8" t="s">
        <v>436</v>
      </c>
    </row>
    <row r="18" customFormat="false" ht="15" hidden="false" customHeight="false" outlineLevel="0" collapsed="false">
      <c r="A18" s="8" t="s">
        <v>439</v>
      </c>
      <c r="B18" s="8" t="s">
        <v>440</v>
      </c>
      <c r="C18" s="8" t="s">
        <v>32</v>
      </c>
      <c r="D18" s="8" t="s">
        <v>32</v>
      </c>
      <c r="E18" s="8" t="s">
        <v>32</v>
      </c>
    </row>
    <row r="21" customFormat="false" ht="15" hidden="false" customHeight="false" outlineLevel="0" collapsed="false">
      <c r="A21" s="3" t="s">
        <v>441</v>
      </c>
    </row>
    <row r="22" customFormat="false" ht="15" hidden="false" customHeight="false" outlineLevel="0" collapsed="false">
      <c r="A22" s="2" t="s">
        <v>442</v>
      </c>
    </row>
    <row r="23" customFormat="false" ht="15" hidden="false" customHeight="false" outlineLevel="0" collapsed="false">
      <c r="A23" s="2" t="s">
        <v>443</v>
      </c>
    </row>
    <row r="24" customFormat="false" ht="15" hidden="false" customHeight="false" outlineLevel="0" collapsed="false">
      <c r="A24" s="2" t="s">
        <v>444</v>
      </c>
    </row>
    <row r="25" customFormat="false" ht="15" hidden="false" customHeight="false" outlineLevel="0" collapsed="false">
      <c r="A25" s="2" t="s">
        <v>445</v>
      </c>
    </row>
    <row r="26" customFormat="false" ht="15" hidden="false" customHeight="false" outlineLevel="0" collapsed="false">
      <c r="A26" s="2" t="s">
        <v>446</v>
      </c>
    </row>
    <row r="27" customFormat="false" ht="15" hidden="false" customHeight="false" outlineLevel="0" collapsed="false">
      <c r="A27" s="2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448</v>
      </c>
    </row>
    <row r="3" customFormat="false" ht="15" hidden="false" customHeight="false" outlineLevel="0" collapsed="false">
      <c r="A3" s="3" t="s">
        <v>449</v>
      </c>
    </row>
    <row r="4" customFormat="false" ht="15" hidden="false" customHeight="false" outlineLevel="0" collapsed="false">
      <c r="A4" s="2" t="s">
        <v>450</v>
      </c>
      <c r="B4" s="14" t="n">
        <v>25</v>
      </c>
    </row>
    <row r="5" customFormat="false" ht="15" hidden="false" customHeight="false" outlineLevel="0" collapsed="false">
      <c r="A5" s="2" t="s">
        <v>451</v>
      </c>
      <c r="B5" s="14" t="n">
        <v>0.4</v>
      </c>
    </row>
    <row r="6" customFormat="false" ht="15" hidden="false" customHeight="false" outlineLevel="0" collapsed="false">
      <c r="A6" s="2" t="s">
        <v>452</v>
      </c>
      <c r="B6" s="14" t="s">
        <v>453</v>
      </c>
    </row>
    <row r="7" customFormat="false" ht="15" hidden="false" customHeight="false" outlineLevel="0" collapsed="false">
      <c r="A7" s="2" t="s">
        <v>454</v>
      </c>
      <c r="B7" s="14" t="s">
        <v>455</v>
      </c>
    </row>
    <row r="9" customFormat="false" ht="15" hidden="false" customHeight="false" outlineLevel="0" collapsed="false">
      <c r="A9" s="3" t="s">
        <v>456</v>
      </c>
    </row>
    <row r="10" customFormat="false" ht="15" hidden="false" customHeight="false" outlineLevel="0" collapsed="false">
      <c r="A10" s="5" t="s">
        <v>457</v>
      </c>
      <c r="B10" s="5" t="s">
        <v>458</v>
      </c>
      <c r="C10" s="5" t="s">
        <v>459</v>
      </c>
      <c r="D10" s="5" t="s">
        <v>460</v>
      </c>
    </row>
    <row r="11" customFormat="false" ht="15" hidden="false" customHeight="false" outlineLevel="0" collapsed="false">
      <c r="A11" s="15" t="s">
        <v>461</v>
      </c>
      <c r="B11" s="14" t="n">
        <v>0.5</v>
      </c>
      <c r="C11" s="15" t="n">
        <f aca="false">B11*$B$4</f>
        <v>12.5</v>
      </c>
      <c r="D11" s="15" t="n">
        <f aca="false">ROUND(B11/$B$5,1)</f>
        <v>1.3</v>
      </c>
    </row>
    <row r="12" customFormat="false" ht="15" hidden="false" customHeight="false" outlineLevel="0" collapsed="false">
      <c r="A12" s="15" t="s">
        <v>462</v>
      </c>
      <c r="B12" s="14" t="n">
        <v>1</v>
      </c>
      <c r="C12" s="15" t="n">
        <f aca="false">B12*$B$4</f>
        <v>25</v>
      </c>
      <c r="D12" s="15" t="n">
        <f aca="false">ROUND(B12/$B$5,1)</f>
        <v>2.5</v>
      </c>
    </row>
    <row r="13" customFormat="false" ht="15" hidden="false" customHeight="false" outlineLevel="0" collapsed="false">
      <c r="A13" s="15" t="s">
        <v>18</v>
      </c>
      <c r="B13" s="14" t="n">
        <v>0.4</v>
      </c>
      <c r="C13" s="15" t="n">
        <f aca="false">B13*$B$4</f>
        <v>10</v>
      </c>
      <c r="D13" s="15" t="n">
        <f aca="false">ROUND(B13/$B$5,1)</f>
        <v>1</v>
      </c>
    </row>
    <row r="14" customFormat="false" ht="15" hidden="false" customHeight="false" outlineLevel="0" collapsed="false">
      <c r="A14" s="15" t="s">
        <v>22</v>
      </c>
      <c r="B14" s="14" t="n">
        <v>0.7</v>
      </c>
      <c r="C14" s="15" t="n">
        <f aca="false">B14*$B$4</f>
        <v>17.5</v>
      </c>
      <c r="D14" s="15" t="n">
        <f aca="false">ROUND(B14/$B$5,1)</f>
        <v>1.8</v>
      </c>
    </row>
    <row r="15" customFormat="false" ht="15" hidden="false" customHeight="false" outlineLevel="0" collapsed="false">
      <c r="A15" s="15" t="s">
        <v>26</v>
      </c>
      <c r="B15" s="14" t="n">
        <v>1</v>
      </c>
      <c r="C15" s="15" t="n">
        <f aca="false">B15*$B$4</f>
        <v>25</v>
      </c>
      <c r="D15" s="15" t="n">
        <f aca="false">ROUND(B15/$B$5,1)</f>
        <v>2.5</v>
      </c>
    </row>
    <row r="16" customFormat="false" ht="15" hidden="false" customHeight="false" outlineLevel="0" collapsed="false">
      <c r="A16" s="15" t="s">
        <v>463</v>
      </c>
      <c r="B16" s="14" t="n">
        <v>0.5</v>
      </c>
      <c r="C16" s="15" t="n">
        <f aca="false">B16*$B$4</f>
        <v>12.5</v>
      </c>
      <c r="D16" s="15" t="n">
        <f aca="false">ROUND(B16/$B$5,1)</f>
        <v>1.3</v>
      </c>
    </row>
    <row r="17" customFormat="false" ht="15" hidden="false" customHeight="false" outlineLevel="0" collapsed="false">
      <c r="A17" s="15" t="s">
        <v>464</v>
      </c>
      <c r="B17" s="14" t="n">
        <v>2</v>
      </c>
      <c r="C17" s="15" t="n">
        <f aca="false">B17*$B$4</f>
        <v>50</v>
      </c>
      <c r="D17" s="15" t="n">
        <f aca="false">ROUND(B17/$B$5,1)</f>
        <v>5</v>
      </c>
    </row>
    <row r="19" customFormat="false" ht="15" hidden="false" customHeight="true" outlineLevel="0" collapsed="false">
      <c r="A19" s="4" t="s">
        <v>465</v>
      </c>
      <c r="B19" s="4"/>
      <c r="C19" s="4"/>
      <c r="D19" s="4"/>
      <c r="E19" s="4"/>
    </row>
    <row r="20" customFormat="false" ht="15" hidden="false" customHeight="false" outlineLevel="0" collapsed="false">
      <c r="A20" s="4"/>
      <c r="B20" s="4"/>
      <c r="C20" s="4"/>
      <c r="D20" s="4"/>
      <c r="E20" s="4"/>
    </row>
    <row r="22" customFormat="false" ht="15" hidden="false" customHeight="false" outlineLevel="0" collapsed="false">
      <c r="A22" s="3" t="s">
        <v>466</v>
      </c>
    </row>
    <row r="23" customFormat="false" ht="15" hidden="false" customHeight="false" outlineLevel="0" collapsed="false">
      <c r="A23" s="5" t="s">
        <v>467</v>
      </c>
      <c r="B23" s="5" t="s">
        <v>468</v>
      </c>
      <c r="C23" s="5" t="s">
        <v>469</v>
      </c>
      <c r="D23" s="5" t="s">
        <v>470</v>
      </c>
    </row>
    <row r="24" customFormat="false" ht="23.85" hidden="false" customHeight="false" outlineLevel="0" collapsed="false">
      <c r="A24" s="8" t="s">
        <v>471</v>
      </c>
      <c r="B24" s="8" t="s">
        <v>472</v>
      </c>
      <c r="C24" s="8" t="s">
        <v>473</v>
      </c>
      <c r="D24" s="8" t="s">
        <v>474</v>
      </c>
    </row>
    <row r="25" customFormat="false" ht="15" hidden="false" customHeight="false" outlineLevel="0" collapsed="false">
      <c r="A25" s="8" t="s">
        <v>475</v>
      </c>
      <c r="B25" s="8" t="s">
        <v>476</v>
      </c>
      <c r="C25" s="8" t="s">
        <v>473</v>
      </c>
      <c r="D25" s="8" t="s">
        <v>477</v>
      </c>
    </row>
    <row r="26" customFormat="false" ht="23.85" hidden="false" customHeight="false" outlineLevel="0" collapsed="false">
      <c r="A26" s="8" t="s">
        <v>478</v>
      </c>
      <c r="B26" s="8" t="s">
        <v>479</v>
      </c>
      <c r="C26" s="8" t="s">
        <v>480</v>
      </c>
      <c r="D26" s="8" t="s">
        <v>481</v>
      </c>
    </row>
    <row r="28" customFormat="false" ht="15" hidden="false" customHeight="true" outlineLevel="0" collapsed="false">
      <c r="A28" s="4" t="s">
        <v>482</v>
      </c>
      <c r="B28" s="4"/>
      <c r="C28" s="4"/>
      <c r="D28" s="4"/>
      <c r="E28" s="4"/>
    </row>
    <row r="29" customFormat="false" ht="15" hidden="false" customHeight="false" outlineLevel="0" collapsed="false">
      <c r="A29" s="4"/>
      <c r="B29" s="4"/>
      <c r="C29" s="4"/>
      <c r="D29" s="4"/>
      <c r="E29" s="4"/>
    </row>
    <row r="30" customFormat="false" ht="15" hidden="false" customHeight="false" outlineLevel="0" collapsed="false">
      <c r="A30" s="4"/>
      <c r="B30" s="4"/>
      <c r="C30" s="4"/>
      <c r="D30" s="4"/>
      <c r="E30" s="4"/>
    </row>
    <row r="31" customFormat="false" ht="15" hidden="false" customHeight="false" outlineLevel="0" collapsed="false">
      <c r="A31" s="4"/>
      <c r="B31" s="4"/>
      <c r="C31" s="4"/>
      <c r="D31" s="4"/>
      <c r="E31" s="4"/>
    </row>
  </sheetData>
  <mergeCells count="2">
    <mergeCell ref="A19:E20"/>
    <mergeCell ref="A28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36"/>
  </cols>
  <sheetData>
    <row r="1" customFormat="false" ht="15" hidden="false" customHeight="false" outlineLevel="0" collapsed="false">
      <c r="A1" s="5" t="s">
        <v>41</v>
      </c>
      <c r="B1" s="5" t="s">
        <v>40</v>
      </c>
      <c r="C1" s="5" t="s">
        <v>5</v>
      </c>
      <c r="D1" s="5" t="s">
        <v>483</v>
      </c>
      <c r="E1" s="5" t="s">
        <v>484</v>
      </c>
      <c r="F1" s="5" t="s">
        <v>485</v>
      </c>
    </row>
    <row r="2" customFormat="false" ht="15" hidden="false" customHeight="false" outlineLevel="0" collapsed="false">
      <c r="A2" s="15" t="s">
        <v>55</v>
      </c>
      <c r="B2" s="15" t="s">
        <v>54</v>
      </c>
      <c r="C2" s="15" t="s">
        <v>10</v>
      </c>
      <c r="D2" s="15" t="n">
        <v>1</v>
      </c>
      <c r="E2" s="15" t="s">
        <v>486</v>
      </c>
      <c r="F2" s="15" t="s">
        <v>486</v>
      </c>
    </row>
    <row r="3" customFormat="false" ht="15" hidden="false" customHeight="false" outlineLevel="0" collapsed="false">
      <c r="A3" s="15" t="s">
        <v>55</v>
      </c>
      <c r="B3" s="15" t="s">
        <v>54</v>
      </c>
      <c r="C3" s="15" t="s">
        <v>10</v>
      </c>
      <c r="D3" s="15" t="n">
        <v>2</v>
      </c>
      <c r="E3" s="15" t="s">
        <v>487</v>
      </c>
      <c r="F3" s="15" t="s">
        <v>487</v>
      </c>
    </row>
    <row r="4" customFormat="false" ht="15" hidden="false" customHeight="false" outlineLevel="0" collapsed="false">
      <c r="A4" s="15" t="s">
        <v>62</v>
      </c>
      <c r="B4" s="15" t="s">
        <v>61</v>
      </c>
      <c r="C4" s="15" t="s">
        <v>10</v>
      </c>
      <c r="D4" s="15" t="n">
        <v>1</v>
      </c>
      <c r="E4" s="15" t="s">
        <v>488</v>
      </c>
      <c r="F4" s="15" t="s">
        <v>489</v>
      </c>
    </row>
    <row r="5" customFormat="false" ht="15" hidden="false" customHeight="false" outlineLevel="0" collapsed="false">
      <c r="A5" s="15" t="s">
        <v>62</v>
      </c>
      <c r="B5" s="15" t="s">
        <v>61</v>
      </c>
      <c r="C5" s="15" t="s">
        <v>10</v>
      </c>
      <c r="D5" s="15" t="n">
        <v>2</v>
      </c>
      <c r="E5" s="15" t="s">
        <v>490</v>
      </c>
      <c r="F5" s="15" t="s">
        <v>491</v>
      </c>
    </row>
    <row r="6" customFormat="false" ht="15" hidden="false" customHeight="false" outlineLevel="0" collapsed="false">
      <c r="A6" s="15" t="s">
        <v>76</v>
      </c>
      <c r="B6" s="15" t="s">
        <v>75</v>
      </c>
      <c r="C6" s="15" t="s">
        <v>10</v>
      </c>
      <c r="D6" s="15" t="n">
        <v>1</v>
      </c>
      <c r="E6" s="15" t="s">
        <v>492</v>
      </c>
      <c r="F6" s="15" t="s">
        <v>493</v>
      </c>
    </row>
    <row r="7" customFormat="false" ht="15" hidden="false" customHeight="false" outlineLevel="0" collapsed="false">
      <c r="A7" s="15" t="s">
        <v>76</v>
      </c>
      <c r="B7" s="15" t="s">
        <v>75</v>
      </c>
      <c r="C7" s="15" t="s">
        <v>10</v>
      </c>
      <c r="D7" s="15" t="n">
        <v>2</v>
      </c>
      <c r="E7" s="15" t="s">
        <v>494</v>
      </c>
      <c r="F7" s="15" t="s">
        <v>495</v>
      </c>
    </row>
    <row r="8" customFormat="false" ht="15" hidden="false" customHeight="false" outlineLevel="0" collapsed="false">
      <c r="A8" s="15" t="s">
        <v>76</v>
      </c>
      <c r="B8" s="15" t="s">
        <v>75</v>
      </c>
      <c r="C8" s="15" t="s">
        <v>10</v>
      </c>
      <c r="D8" s="15" t="n">
        <v>3</v>
      </c>
      <c r="E8" s="15" t="s">
        <v>496</v>
      </c>
      <c r="F8" s="15" t="s">
        <v>497</v>
      </c>
    </row>
    <row r="9" customFormat="false" ht="15" hidden="false" customHeight="false" outlineLevel="0" collapsed="false">
      <c r="A9" s="15" t="s">
        <v>85</v>
      </c>
      <c r="B9" s="15" t="s">
        <v>84</v>
      </c>
      <c r="C9" s="15" t="s">
        <v>14</v>
      </c>
      <c r="D9" s="15" t="s">
        <v>89</v>
      </c>
      <c r="E9" s="15" t="s">
        <v>498</v>
      </c>
      <c r="F9" s="15" t="s">
        <v>498</v>
      </c>
    </row>
    <row r="10" customFormat="false" ht="15" hidden="false" customHeight="false" outlineLevel="0" collapsed="false">
      <c r="A10" s="15" t="s">
        <v>93</v>
      </c>
      <c r="B10" s="15" t="s">
        <v>92</v>
      </c>
      <c r="C10" s="15" t="s">
        <v>14</v>
      </c>
      <c r="D10" s="15" t="s">
        <v>96</v>
      </c>
      <c r="E10" s="15" t="s">
        <v>499</v>
      </c>
      <c r="F10" s="15" t="s">
        <v>499</v>
      </c>
    </row>
    <row r="11" customFormat="false" ht="15" hidden="false" customHeight="false" outlineLevel="0" collapsed="false">
      <c r="A11" s="15" t="s">
        <v>99</v>
      </c>
      <c r="B11" s="15" t="s">
        <v>98</v>
      </c>
      <c r="C11" s="15" t="s">
        <v>14</v>
      </c>
      <c r="D11" s="15" t="n">
        <v>1</v>
      </c>
      <c r="E11" s="15" t="s">
        <v>500</v>
      </c>
      <c r="F11" s="15" t="s">
        <v>501</v>
      </c>
    </row>
    <row r="12" customFormat="false" ht="15" hidden="false" customHeight="false" outlineLevel="0" collapsed="false">
      <c r="A12" s="15" t="s">
        <v>99</v>
      </c>
      <c r="B12" s="15" t="s">
        <v>98</v>
      </c>
      <c r="C12" s="15" t="s">
        <v>14</v>
      </c>
      <c r="D12" s="15" t="n">
        <v>2</v>
      </c>
      <c r="E12" s="15" t="s">
        <v>502</v>
      </c>
      <c r="F12" s="15" t="s">
        <v>503</v>
      </c>
    </row>
    <row r="13" customFormat="false" ht="15" hidden="false" customHeight="false" outlineLevel="0" collapsed="false">
      <c r="A13" s="15" t="s">
        <v>99</v>
      </c>
      <c r="B13" s="15" t="s">
        <v>98</v>
      </c>
      <c r="C13" s="15" t="s">
        <v>14</v>
      </c>
      <c r="D13" s="15" t="n">
        <v>3</v>
      </c>
      <c r="E13" s="15" t="s">
        <v>504</v>
      </c>
      <c r="F13" s="15" t="s">
        <v>505</v>
      </c>
    </row>
    <row r="14" customFormat="false" ht="15" hidden="false" customHeight="false" outlineLevel="0" collapsed="false">
      <c r="A14" s="15" t="s">
        <v>99</v>
      </c>
      <c r="B14" s="15" t="s">
        <v>98</v>
      </c>
      <c r="C14" s="15" t="s">
        <v>14</v>
      </c>
      <c r="D14" s="15" t="n">
        <v>4</v>
      </c>
      <c r="E14" s="15" t="s">
        <v>506</v>
      </c>
      <c r="F14" s="15" t="s">
        <v>507</v>
      </c>
    </row>
    <row r="15" customFormat="false" ht="15" hidden="false" customHeight="false" outlineLevel="0" collapsed="false">
      <c r="A15" s="15" t="s">
        <v>105</v>
      </c>
      <c r="B15" s="15" t="s">
        <v>104</v>
      </c>
      <c r="C15" s="15" t="s">
        <v>14</v>
      </c>
      <c r="D15" s="15" t="n">
        <v>1</v>
      </c>
      <c r="E15" s="15" t="s">
        <v>508</v>
      </c>
      <c r="F15" s="15" t="s">
        <v>509</v>
      </c>
    </row>
    <row r="16" customFormat="false" ht="15" hidden="false" customHeight="false" outlineLevel="0" collapsed="false">
      <c r="A16" s="15" t="s">
        <v>105</v>
      </c>
      <c r="B16" s="15" t="s">
        <v>104</v>
      </c>
      <c r="C16" s="15" t="s">
        <v>14</v>
      </c>
      <c r="D16" s="15" t="n">
        <v>2</v>
      </c>
      <c r="E16" s="15" t="s">
        <v>510</v>
      </c>
      <c r="F16" s="15" t="s">
        <v>511</v>
      </c>
    </row>
    <row r="17" customFormat="false" ht="15" hidden="false" customHeight="false" outlineLevel="0" collapsed="false">
      <c r="A17" s="15" t="s">
        <v>105</v>
      </c>
      <c r="B17" s="15" t="s">
        <v>104</v>
      </c>
      <c r="C17" s="15" t="s">
        <v>14</v>
      </c>
      <c r="D17" s="15" t="n">
        <v>3</v>
      </c>
      <c r="E17" s="15" t="s">
        <v>512</v>
      </c>
      <c r="F17" s="15" t="s">
        <v>513</v>
      </c>
    </row>
    <row r="18" customFormat="false" ht="15" hidden="false" customHeight="false" outlineLevel="0" collapsed="false">
      <c r="A18" s="15" t="s">
        <v>105</v>
      </c>
      <c r="B18" s="15" t="s">
        <v>104</v>
      </c>
      <c r="C18" s="15" t="s">
        <v>14</v>
      </c>
      <c r="D18" s="15" t="n">
        <v>4</v>
      </c>
      <c r="E18" s="15" t="s">
        <v>514</v>
      </c>
      <c r="F18" s="15" t="s">
        <v>515</v>
      </c>
    </row>
    <row r="19" customFormat="false" ht="15" hidden="false" customHeight="false" outlineLevel="0" collapsed="false">
      <c r="A19" s="15" t="s">
        <v>105</v>
      </c>
      <c r="B19" s="15" t="s">
        <v>104</v>
      </c>
      <c r="C19" s="15" t="s">
        <v>14</v>
      </c>
      <c r="D19" s="15" t="n">
        <v>5</v>
      </c>
      <c r="E19" s="15" t="s">
        <v>506</v>
      </c>
      <c r="F19" s="15" t="s">
        <v>507</v>
      </c>
    </row>
    <row r="20" customFormat="false" ht="15" hidden="false" customHeight="false" outlineLevel="0" collapsed="false">
      <c r="A20" s="15" t="s">
        <v>111</v>
      </c>
      <c r="B20" s="15" t="s">
        <v>110</v>
      </c>
      <c r="C20" s="15" t="s">
        <v>14</v>
      </c>
      <c r="D20" s="15" t="n">
        <v>1</v>
      </c>
      <c r="E20" s="15" t="s">
        <v>516</v>
      </c>
      <c r="F20" s="15" t="s">
        <v>517</v>
      </c>
    </row>
    <row r="21" customFormat="false" ht="15" hidden="false" customHeight="false" outlineLevel="0" collapsed="false">
      <c r="A21" s="15" t="s">
        <v>111</v>
      </c>
      <c r="B21" s="15" t="s">
        <v>110</v>
      </c>
      <c r="C21" s="15" t="s">
        <v>14</v>
      </c>
      <c r="D21" s="15" t="n">
        <v>2</v>
      </c>
      <c r="E21" s="15" t="s">
        <v>518</v>
      </c>
      <c r="F21" s="15" t="s">
        <v>519</v>
      </c>
    </row>
    <row r="22" customFormat="false" ht="15" hidden="false" customHeight="false" outlineLevel="0" collapsed="false">
      <c r="A22" s="15" t="s">
        <v>111</v>
      </c>
      <c r="B22" s="15" t="s">
        <v>110</v>
      </c>
      <c r="C22" s="15" t="s">
        <v>14</v>
      </c>
      <c r="D22" s="15" t="n">
        <v>3</v>
      </c>
      <c r="E22" s="15" t="s">
        <v>520</v>
      </c>
      <c r="F22" s="15" t="s">
        <v>521</v>
      </c>
    </row>
    <row r="23" customFormat="false" ht="15" hidden="false" customHeight="false" outlineLevel="0" collapsed="false">
      <c r="A23" s="15" t="s">
        <v>111</v>
      </c>
      <c r="B23" s="15" t="s">
        <v>110</v>
      </c>
      <c r="C23" s="15" t="s">
        <v>14</v>
      </c>
      <c r="D23" s="15" t="n">
        <v>4</v>
      </c>
      <c r="E23" s="15" t="s">
        <v>522</v>
      </c>
      <c r="F23" s="15" t="s">
        <v>523</v>
      </c>
    </row>
    <row r="24" customFormat="false" ht="15" hidden="false" customHeight="false" outlineLevel="0" collapsed="false">
      <c r="A24" s="15" t="s">
        <v>116</v>
      </c>
      <c r="B24" s="15" t="s">
        <v>115</v>
      </c>
      <c r="C24" s="15" t="s">
        <v>14</v>
      </c>
      <c r="D24" s="15" t="n">
        <v>1</v>
      </c>
      <c r="E24" s="15" t="s">
        <v>524</v>
      </c>
      <c r="F24" s="15" t="s">
        <v>525</v>
      </c>
    </row>
    <row r="25" customFormat="false" ht="15" hidden="false" customHeight="false" outlineLevel="0" collapsed="false">
      <c r="A25" s="15" t="s">
        <v>116</v>
      </c>
      <c r="B25" s="15" t="s">
        <v>115</v>
      </c>
      <c r="C25" s="15" t="s">
        <v>14</v>
      </c>
      <c r="D25" s="15" t="n">
        <v>2</v>
      </c>
      <c r="E25" s="15" t="s">
        <v>526</v>
      </c>
      <c r="F25" s="15" t="s">
        <v>527</v>
      </c>
    </row>
    <row r="26" customFormat="false" ht="15" hidden="false" customHeight="false" outlineLevel="0" collapsed="false">
      <c r="A26" s="15" t="s">
        <v>116</v>
      </c>
      <c r="B26" s="15" t="s">
        <v>115</v>
      </c>
      <c r="C26" s="15" t="s">
        <v>14</v>
      </c>
      <c r="D26" s="15" t="n">
        <v>3</v>
      </c>
      <c r="E26" s="15" t="s">
        <v>528</v>
      </c>
      <c r="F26" s="15" t="s">
        <v>529</v>
      </c>
    </row>
    <row r="27" customFormat="false" ht="15" hidden="false" customHeight="false" outlineLevel="0" collapsed="false">
      <c r="A27" s="15" t="s">
        <v>123</v>
      </c>
      <c r="B27" s="15" t="s">
        <v>122</v>
      </c>
      <c r="C27" s="15" t="s">
        <v>14</v>
      </c>
      <c r="D27" s="15" t="n">
        <v>1</v>
      </c>
      <c r="E27" s="15" t="s">
        <v>530</v>
      </c>
      <c r="F27" s="15" t="s">
        <v>531</v>
      </c>
    </row>
    <row r="28" customFormat="false" ht="15" hidden="false" customHeight="false" outlineLevel="0" collapsed="false">
      <c r="A28" s="15" t="s">
        <v>123</v>
      </c>
      <c r="B28" s="15" t="s">
        <v>122</v>
      </c>
      <c r="C28" s="15" t="s">
        <v>14</v>
      </c>
      <c r="D28" s="15" t="n">
        <v>2</v>
      </c>
      <c r="E28" s="15" t="s">
        <v>532</v>
      </c>
      <c r="F28" s="15" t="s">
        <v>533</v>
      </c>
    </row>
    <row r="29" customFormat="false" ht="15" hidden="false" customHeight="false" outlineLevel="0" collapsed="false">
      <c r="A29" s="15" t="s">
        <v>123</v>
      </c>
      <c r="B29" s="15" t="s">
        <v>122</v>
      </c>
      <c r="C29" s="15" t="s">
        <v>14</v>
      </c>
      <c r="D29" s="15" t="n">
        <v>3</v>
      </c>
      <c r="E29" s="15" t="s">
        <v>534</v>
      </c>
      <c r="F29" s="15" t="s">
        <v>535</v>
      </c>
    </row>
    <row r="30" customFormat="false" ht="15" hidden="false" customHeight="false" outlineLevel="0" collapsed="false">
      <c r="A30" s="15" t="s">
        <v>130</v>
      </c>
      <c r="B30" s="15" t="s">
        <v>129</v>
      </c>
      <c r="C30" s="15" t="s">
        <v>14</v>
      </c>
      <c r="D30" s="15" t="n">
        <v>1</v>
      </c>
      <c r="E30" s="15" t="s">
        <v>530</v>
      </c>
      <c r="F30" s="15" t="s">
        <v>531</v>
      </c>
    </row>
    <row r="31" customFormat="false" ht="15" hidden="false" customHeight="false" outlineLevel="0" collapsed="false">
      <c r="A31" s="15" t="s">
        <v>130</v>
      </c>
      <c r="B31" s="15" t="s">
        <v>129</v>
      </c>
      <c r="C31" s="15" t="s">
        <v>14</v>
      </c>
      <c r="D31" s="15" t="n">
        <v>2</v>
      </c>
      <c r="E31" s="15" t="s">
        <v>532</v>
      </c>
      <c r="F31" s="15" t="s">
        <v>533</v>
      </c>
    </row>
    <row r="32" customFormat="false" ht="15" hidden="false" customHeight="false" outlineLevel="0" collapsed="false">
      <c r="A32" s="15" t="s">
        <v>130</v>
      </c>
      <c r="B32" s="15" t="s">
        <v>129</v>
      </c>
      <c r="C32" s="15" t="s">
        <v>14</v>
      </c>
      <c r="D32" s="15" t="n">
        <v>3</v>
      </c>
      <c r="E32" s="15" t="s">
        <v>534</v>
      </c>
      <c r="F32" s="15" t="s">
        <v>535</v>
      </c>
    </row>
    <row r="33" customFormat="false" ht="15" hidden="false" customHeight="false" outlineLevel="0" collapsed="false">
      <c r="A33" s="15" t="s">
        <v>135</v>
      </c>
      <c r="B33" s="15" t="s">
        <v>134</v>
      </c>
      <c r="C33" s="15" t="s">
        <v>14</v>
      </c>
      <c r="D33" s="15" t="n">
        <v>1</v>
      </c>
      <c r="E33" s="15" t="s">
        <v>536</v>
      </c>
      <c r="F33" s="15" t="s">
        <v>537</v>
      </c>
    </row>
    <row r="34" customFormat="false" ht="15" hidden="false" customHeight="false" outlineLevel="0" collapsed="false">
      <c r="A34" s="15" t="s">
        <v>135</v>
      </c>
      <c r="B34" s="15" t="s">
        <v>134</v>
      </c>
      <c r="C34" s="15" t="s">
        <v>14</v>
      </c>
      <c r="D34" s="15" t="n">
        <v>2</v>
      </c>
      <c r="E34" s="15" t="s">
        <v>538</v>
      </c>
      <c r="F34" s="15" t="s">
        <v>539</v>
      </c>
    </row>
    <row r="35" customFormat="false" ht="15" hidden="false" customHeight="false" outlineLevel="0" collapsed="false">
      <c r="A35" s="15" t="s">
        <v>135</v>
      </c>
      <c r="B35" s="15" t="s">
        <v>134</v>
      </c>
      <c r="C35" s="15" t="s">
        <v>14</v>
      </c>
      <c r="D35" s="15" t="n">
        <v>3</v>
      </c>
      <c r="E35" s="15" t="s">
        <v>540</v>
      </c>
      <c r="F35" s="15" t="s">
        <v>541</v>
      </c>
    </row>
    <row r="36" customFormat="false" ht="15" hidden="false" customHeight="false" outlineLevel="0" collapsed="false">
      <c r="A36" s="15" t="s">
        <v>135</v>
      </c>
      <c r="B36" s="15" t="s">
        <v>134</v>
      </c>
      <c r="C36" s="15" t="s">
        <v>14</v>
      </c>
      <c r="D36" s="15" t="n">
        <v>4</v>
      </c>
      <c r="E36" s="15" t="s">
        <v>542</v>
      </c>
      <c r="F36" s="15" t="s">
        <v>543</v>
      </c>
    </row>
    <row r="37" customFormat="false" ht="15" hidden="false" customHeight="false" outlineLevel="0" collapsed="false">
      <c r="A37" s="15" t="s">
        <v>135</v>
      </c>
      <c r="B37" s="15" t="s">
        <v>134</v>
      </c>
      <c r="C37" s="15" t="s">
        <v>14</v>
      </c>
      <c r="D37" s="15" t="n">
        <v>5</v>
      </c>
      <c r="E37" s="15" t="s">
        <v>544</v>
      </c>
      <c r="F37" s="15" t="s">
        <v>545</v>
      </c>
    </row>
    <row r="38" customFormat="false" ht="15" hidden="false" customHeight="false" outlineLevel="0" collapsed="false">
      <c r="A38" s="15" t="s">
        <v>143</v>
      </c>
      <c r="B38" s="15" t="s">
        <v>142</v>
      </c>
      <c r="C38" s="15" t="s">
        <v>14</v>
      </c>
      <c r="D38" s="15" t="n">
        <v>1</v>
      </c>
      <c r="E38" s="15" t="s">
        <v>536</v>
      </c>
      <c r="F38" s="15" t="s">
        <v>537</v>
      </c>
    </row>
    <row r="39" customFormat="false" ht="15" hidden="false" customHeight="false" outlineLevel="0" collapsed="false">
      <c r="A39" s="15" t="s">
        <v>143</v>
      </c>
      <c r="B39" s="15" t="s">
        <v>142</v>
      </c>
      <c r="C39" s="15" t="s">
        <v>14</v>
      </c>
      <c r="D39" s="15" t="n">
        <v>2</v>
      </c>
      <c r="E39" s="15" t="s">
        <v>538</v>
      </c>
      <c r="F39" s="15" t="s">
        <v>539</v>
      </c>
    </row>
    <row r="40" customFormat="false" ht="15" hidden="false" customHeight="false" outlineLevel="0" collapsed="false">
      <c r="A40" s="15" t="s">
        <v>143</v>
      </c>
      <c r="B40" s="15" t="s">
        <v>142</v>
      </c>
      <c r="C40" s="15" t="s">
        <v>14</v>
      </c>
      <c r="D40" s="15" t="n">
        <v>3</v>
      </c>
      <c r="E40" s="15" t="s">
        <v>540</v>
      </c>
      <c r="F40" s="15" t="s">
        <v>541</v>
      </c>
    </row>
    <row r="41" customFormat="false" ht="15" hidden="false" customHeight="false" outlineLevel="0" collapsed="false">
      <c r="A41" s="15" t="s">
        <v>143</v>
      </c>
      <c r="B41" s="15" t="s">
        <v>142</v>
      </c>
      <c r="C41" s="15" t="s">
        <v>14</v>
      </c>
      <c r="D41" s="15" t="n">
        <v>4</v>
      </c>
      <c r="E41" s="15" t="s">
        <v>542</v>
      </c>
      <c r="F41" s="15" t="s">
        <v>543</v>
      </c>
    </row>
    <row r="42" customFormat="false" ht="15" hidden="false" customHeight="false" outlineLevel="0" collapsed="false">
      <c r="A42" s="15" t="s">
        <v>143</v>
      </c>
      <c r="B42" s="15" t="s">
        <v>142</v>
      </c>
      <c r="C42" s="15" t="s">
        <v>14</v>
      </c>
      <c r="D42" s="15" t="n">
        <v>5</v>
      </c>
      <c r="E42" s="15" t="s">
        <v>544</v>
      </c>
      <c r="F42" s="15" t="s">
        <v>545</v>
      </c>
    </row>
    <row r="43" customFormat="false" ht="15" hidden="false" customHeight="false" outlineLevel="0" collapsed="false">
      <c r="A43" s="15" t="s">
        <v>148</v>
      </c>
      <c r="B43" s="15" t="s">
        <v>147</v>
      </c>
      <c r="C43" s="15" t="s">
        <v>14</v>
      </c>
      <c r="D43" s="15" t="n">
        <v>1</v>
      </c>
      <c r="E43" s="15" t="s">
        <v>546</v>
      </c>
      <c r="F43" s="15" t="s">
        <v>547</v>
      </c>
    </row>
    <row r="44" customFormat="false" ht="15" hidden="false" customHeight="false" outlineLevel="0" collapsed="false">
      <c r="A44" s="15" t="s">
        <v>148</v>
      </c>
      <c r="B44" s="15" t="s">
        <v>147</v>
      </c>
      <c r="C44" s="15" t="s">
        <v>14</v>
      </c>
      <c r="D44" s="15" t="n">
        <v>2</v>
      </c>
      <c r="E44" s="15" t="s">
        <v>548</v>
      </c>
      <c r="F44" s="15" t="s">
        <v>549</v>
      </c>
    </row>
    <row r="45" customFormat="false" ht="15" hidden="false" customHeight="false" outlineLevel="0" collapsed="false">
      <c r="A45" s="15" t="s">
        <v>148</v>
      </c>
      <c r="B45" s="15" t="s">
        <v>147</v>
      </c>
      <c r="C45" s="15" t="s">
        <v>14</v>
      </c>
      <c r="D45" s="15" t="n">
        <v>3</v>
      </c>
      <c r="E45" s="15" t="s">
        <v>550</v>
      </c>
      <c r="F45" s="15" t="s">
        <v>551</v>
      </c>
    </row>
    <row r="46" customFormat="false" ht="15" hidden="false" customHeight="false" outlineLevel="0" collapsed="false">
      <c r="A46" s="15" t="s">
        <v>148</v>
      </c>
      <c r="B46" s="15" t="s">
        <v>147</v>
      </c>
      <c r="C46" s="15" t="s">
        <v>14</v>
      </c>
      <c r="D46" s="15" t="n">
        <v>4</v>
      </c>
      <c r="E46" s="15" t="s">
        <v>552</v>
      </c>
      <c r="F46" s="15" t="s">
        <v>553</v>
      </c>
    </row>
    <row r="47" customFormat="false" ht="15" hidden="false" customHeight="false" outlineLevel="0" collapsed="false">
      <c r="A47" s="15" t="s">
        <v>148</v>
      </c>
      <c r="B47" s="15" t="s">
        <v>147</v>
      </c>
      <c r="C47" s="15" t="s">
        <v>14</v>
      </c>
      <c r="D47" s="15" t="n">
        <v>5</v>
      </c>
      <c r="E47" s="15" t="s">
        <v>554</v>
      </c>
      <c r="F47" s="15" t="s">
        <v>555</v>
      </c>
    </row>
    <row r="48" customFormat="false" ht="15" hidden="false" customHeight="false" outlineLevel="0" collapsed="false">
      <c r="A48" s="15" t="s">
        <v>153</v>
      </c>
      <c r="B48" s="15" t="s">
        <v>152</v>
      </c>
      <c r="C48" s="15" t="s">
        <v>14</v>
      </c>
      <c r="D48" s="15" t="n">
        <v>1</v>
      </c>
      <c r="E48" s="15" t="s">
        <v>556</v>
      </c>
      <c r="F48" s="15" t="s">
        <v>557</v>
      </c>
    </row>
    <row r="49" customFormat="false" ht="15" hidden="false" customHeight="false" outlineLevel="0" collapsed="false">
      <c r="A49" s="15" t="s">
        <v>153</v>
      </c>
      <c r="B49" s="15" t="s">
        <v>152</v>
      </c>
      <c r="C49" s="15" t="s">
        <v>14</v>
      </c>
      <c r="D49" s="15" t="n">
        <v>2</v>
      </c>
      <c r="E49" s="15" t="s">
        <v>558</v>
      </c>
      <c r="F49" s="15" t="s">
        <v>559</v>
      </c>
    </row>
    <row r="50" customFormat="false" ht="15" hidden="false" customHeight="false" outlineLevel="0" collapsed="false">
      <c r="A50" s="15" t="s">
        <v>153</v>
      </c>
      <c r="B50" s="15" t="s">
        <v>152</v>
      </c>
      <c r="C50" s="15" t="s">
        <v>14</v>
      </c>
      <c r="D50" s="15" t="n">
        <v>3</v>
      </c>
      <c r="E50" s="15" t="s">
        <v>560</v>
      </c>
      <c r="F50" s="15" t="s">
        <v>560</v>
      </c>
    </row>
    <row r="51" customFormat="false" ht="15" hidden="false" customHeight="false" outlineLevel="0" collapsed="false">
      <c r="A51" s="15" t="s">
        <v>153</v>
      </c>
      <c r="B51" s="15" t="s">
        <v>152</v>
      </c>
      <c r="C51" s="15" t="s">
        <v>14</v>
      </c>
      <c r="D51" s="15" t="n">
        <v>4</v>
      </c>
      <c r="E51" s="15" t="s">
        <v>561</v>
      </c>
      <c r="F51" s="15" t="s">
        <v>561</v>
      </c>
    </row>
    <row r="52" customFormat="false" ht="15" hidden="false" customHeight="false" outlineLevel="0" collapsed="false">
      <c r="A52" s="15" t="s">
        <v>153</v>
      </c>
      <c r="B52" s="15" t="s">
        <v>152</v>
      </c>
      <c r="C52" s="15" t="s">
        <v>14</v>
      </c>
      <c r="D52" s="15" t="n">
        <v>5</v>
      </c>
      <c r="E52" s="15" t="s">
        <v>562</v>
      </c>
      <c r="F52" s="15" t="s">
        <v>563</v>
      </c>
    </row>
    <row r="53" customFormat="false" ht="15" hidden="false" customHeight="false" outlineLevel="0" collapsed="false">
      <c r="A53" s="15" t="s">
        <v>159</v>
      </c>
      <c r="B53" s="15" t="s">
        <v>158</v>
      </c>
      <c r="C53" s="15" t="s">
        <v>14</v>
      </c>
      <c r="D53" s="15" t="n">
        <v>1</v>
      </c>
      <c r="E53" s="15" t="s">
        <v>564</v>
      </c>
      <c r="F53" s="15" t="s">
        <v>557</v>
      </c>
    </row>
    <row r="54" customFormat="false" ht="15" hidden="false" customHeight="false" outlineLevel="0" collapsed="false">
      <c r="A54" s="15" t="s">
        <v>159</v>
      </c>
      <c r="B54" s="15" t="s">
        <v>158</v>
      </c>
      <c r="C54" s="15" t="s">
        <v>14</v>
      </c>
      <c r="D54" s="15" t="n">
        <v>2</v>
      </c>
      <c r="E54" s="15" t="s">
        <v>565</v>
      </c>
      <c r="F54" s="15" t="s">
        <v>566</v>
      </c>
    </row>
    <row r="55" customFormat="false" ht="15" hidden="false" customHeight="false" outlineLevel="0" collapsed="false">
      <c r="A55" s="15" t="s">
        <v>159</v>
      </c>
      <c r="B55" s="15" t="s">
        <v>158</v>
      </c>
      <c r="C55" s="15" t="s">
        <v>14</v>
      </c>
      <c r="D55" s="15" t="n">
        <v>3</v>
      </c>
      <c r="E55" s="15" t="s">
        <v>567</v>
      </c>
      <c r="F55" s="15" t="s">
        <v>568</v>
      </c>
    </row>
    <row r="56" customFormat="false" ht="15" hidden="false" customHeight="false" outlineLevel="0" collapsed="false">
      <c r="A56" s="15" t="s">
        <v>159</v>
      </c>
      <c r="B56" s="15" t="s">
        <v>158</v>
      </c>
      <c r="C56" s="15" t="s">
        <v>14</v>
      </c>
      <c r="D56" s="15" t="n">
        <v>4</v>
      </c>
      <c r="E56" s="15" t="s">
        <v>569</v>
      </c>
      <c r="F56" s="15" t="s">
        <v>570</v>
      </c>
    </row>
    <row r="57" customFormat="false" ht="15" hidden="false" customHeight="false" outlineLevel="0" collapsed="false">
      <c r="A57" s="15" t="s">
        <v>159</v>
      </c>
      <c r="B57" s="15" t="s">
        <v>158</v>
      </c>
      <c r="C57" s="15" t="s">
        <v>14</v>
      </c>
      <c r="D57" s="15" t="n">
        <v>5</v>
      </c>
      <c r="E57" s="15" t="s">
        <v>571</v>
      </c>
      <c r="F57" s="15" t="s">
        <v>572</v>
      </c>
    </row>
    <row r="58" customFormat="false" ht="15" hidden="false" customHeight="false" outlineLevel="0" collapsed="false">
      <c r="A58" s="15" t="s">
        <v>165</v>
      </c>
      <c r="B58" s="15" t="s">
        <v>164</v>
      </c>
      <c r="C58" s="15" t="s">
        <v>14</v>
      </c>
      <c r="D58" s="15" t="n">
        <v>1</v>
      </c>
      <c r="E58" s="15" t="s">
        <v>573</v>
      </c>
      <c r="F58" s="15" t="s">
        <v>574</v>
      </c>
    </row>
    <row r="59" customFormat="false" ht="15" hidden="false" customHeight="false" outlineLevel="0" collapsed="false">
      <c r="A59" s="15" t="s">
        <v>165</v>
      </c>
      <c r="B59" s="15" t="s">
        <v>164</v>
      </c>
      <c r="C59" s="15" t="s">
        <v>14</v>
      </c>
      <c r="D59" s="15" t="n">
        <v>2</v>
      </c>
      <c r="E59" s="15" t="s">
        <v>575</v>
      </c>
      <c r="F59" s="15" t="s">
        <v>576</v>
      </c>
    </row>
    <row r="60" customFormat="false" ht="15" hidden="false" customHeight="false" outlineLevel="0" collapsed="false">
      <c r="A60" s="15" t="s">
        <v>165</v>
      </c>
      <c r="B60" s="15" t="s">
        <v>164</v>
      </c>
      <c r="C60" s="15" t="s">
        <v>14</v>
      </c>
      <c r="D60" s="15" t="n">
        <v>3</v>
      </c>
      <c r="E60" s="15" t="s">
        <v>577</v>
      </c>
      <c r="F60" s="15" t="s">
        <v>578</v>
      </c>
    </row>
    <row r="61" customFormat="false" ht="15" hidden="false" customHeight="false" outlineLevel="0" collapsed="false">
      <c r="A61" s="15" t="s">
        <v>165</v>
      </c>
      <c r="B61" s="15" t="s">
        <v>164</v>
      </c>
      <c r="C61" s="15" t="s">
        <v>14</v>
      </c>
      <c r="D61" s="15" t="n">
        <v>4</v>
      </c>
      <c r="E61" s="15" t="s">
        <v>579</v>
      </c>
      <c r="F61" s="15" t="s">
        <v>580</v>
      </c>
    </row>
    <row r="62" customFormat="false" ht="15" hidden="false" customHeight="false" outlineLevel="0" collapsed="false">
      <c r="A62" s="15" t="s">
        <v>171</v>
      </c>
      <c r="B62" s="15" t="s">
        <v>170</v>
      </c>
      <c r="C62" s="15" t="s">
        <v>14</v>
      </c>
      <c r="D62" s="15" t="n">
        <v>1</v>
      </c>
      <c r="E62" s="15" t="s">
        <v>573</v>
      </c>
      <c r="F62" s="15" t="s">
        <v>581</v>
      </c>
    </row>
    <row r="63" customFormat="false" ht="15" hidden="false" customHeight="false" outlineLevel="0" collapsed="false">
      <c r="A63" s="15" t="s">
        <v>171</v>
      </c>
      <c r="B63" s="15" t="s">
        <v>170</v>
      </c>
      <c r="C63" s="15" t="s">
        <v>14</v>
      </c>
      <c r="D63" s="15" t="n">
        <v>2</v>
      </c>
      <c r="E63" s="15" t="s">
        <v>575</v>
      </c>
      <c r="F63" s="15" t="s">
        <v>582</v>
      </c>
    </row>
    <row r="64" customFormat="false" ht="15" hidden="false" customHeight="false" outlineLevel="0" collapsed="false">
      <c r="A64" s="15" t="s">
        <v>171</v>
      </c>
      <c r="B64" s="15" t="s">
        <v>170</v>
      </c>
      <c r="C64" s="15" t="s">
        <v>14</v>
      </c>
      <c r="D64" s="15" t="n">
        <v>3</v>
      </c>
      <c r="E64" s="15" t="s">
        <v>577</v>
      </c>
      <c r="F64" s="15" t="s">
        <v>583</v>
      </c>
    </row>
    <row r="65" customFormat="false" ht="15" hidden="false" customHeight="false" outlineLevel="0" collapsed="false">
      <c r="A65" s="15" t="s">
        <v>176</v>
      </c>
      <c r="B65" s="15" t="s">
        <v>175</v>
      </c>
      <c r="C65" s="15" t="s">
        <v>14</v>
      </c>
      <c r="D65" s="15" t="n">
        <v>1</v>
      </c>
      <c r="E65" s="15" t="s">
        <v>584</v>
      </c>
      <c r="F65" s="15" t="s">
        <v>585</v>
      </c>
    </row>
    <row r="66" customFormat="false" ht="15" hidden="false" customHeight="false" outlineLevel="0" collapsed="false">
      <c r="A66" s="15" t="s">
        <v>176</v>
      </c>
      <c r="B66" s="15" t="s">
        <v>175</v>
      </c>
      <c r="C66" s="15" t="s">
        <v>14</v>
      </c>
      <c r="D66" s="15" t="n">
        <v>2</v>
      </c>
      <c r="E66" s="15" t="s">
        <v>586</v>
      </c>
      <c r="F66" s="15" t="s">
        <v>587</v>
      </c>
    </row>
    <row r="67" customFormat="false" ht="15" hidden="false" customHeight="false" outlineLevel="0" collapsed="false">
      <c r="A67" s="15" t="s">
        <v>176</v>
      </c>
      <c r="B67" s="15" t="s">
        <v>175</v>
      </c>
      <c r="C67" s="15" t="s">
        <v>14</v>
      </c>
      <c r="D67" s="15" t="n">
        <v>3</v>
      </c>
      <c r="E67" s="15" t="s">
        <v>528</v>
      </c>
      <c r="F67" s="15" t="s">
        <v>529</v>
      </c>
    </row>
    <row r="68" customFormat="false" ht="15" hidden="false" customHeight="false" outlineLevel="0" collapsed="false">
      <c r="A68" s="15" t="s">
        <v>176</v>
      </c>
      <c r="B68" s="15" t="s">
        <v>175</v>
      </c>
      <c r="C68" s="15" t="s">
        <v>14</v>
      </c>
      <c r="D68" s="15" t="n">
        <v>4</v>
      </c>
      <c r="E68" s="15" t="s">
        <v>588</v>
      </c>
      <c r="F68" s="15" t="s">
        <v>589</v>
      </c>
    </row>
    <row r="69" customFormat="false" ht="15" hidden="false" customHeight="false" outlineLevel="0" collapsed="false">
      <c r="A69" s="15" t="s">
        <v>183</v>
      </c>
      <c r="B69" s="15" t="s">
        <v>182</v>
      </c>
      <c r="C69" s="15" t="s">
        <v>14</v>
      </c>
      <c r="D69" s="15" t="n">
        <v>1</v>
      </c>
      <c r="E69" s="15" t="s">
        <v>590</v>
      </c>
      <c r="F69" s="15" t="s">
        <v>591</v>
      </c>
    </row>
    <row r="70" customFormat="false" ht="15" hidden="false" customHeight="false" outlineLevel="0" collapsed="false">
      <c r="A70" s="15" t="s">
        <v>183</v>
      </c>
      <c r="B70" s="15" t="s">
        <v>182</v>
      </c>
      <c r="C70" s="15" t="s">
        <v>14</v>
      </c>
      <c r="D70" s="15" t="n">
        <v>2</v>
      </c>
      <c r="E70" s="15" t="s">
        <v>592</v>
      </c>
      <c r="F70" s="15" t="s">
        <v>593</v>
      </c>
    </row>
    <row r="71" customFormat="false" ht="15" hidden="false" customHeight="false" outlineLevel="0" collapsed="false">
      <c r="A71" s="15" t="s">
        <v>183</v>
      </c>
      <c r="B71" s="15" t="s">
        <v>182</v>
      </c>
      <c r="C71" s="15" t="s">
        <v>14</v>
      </c>
      <c r="D71" s="15" t="n">
        <v>3</v>
      </c>
      <c r="E71" s="15" t="s">
        <v>594</v>
      </c>
      <c r="F71" s="15" t="s">
        <v>595</v>
      </c>
    </row>
    <row r="72" customFormat="false" ht="15" hidden="false" customHeight="false" outlineLevel="0" collapsed="false">
      <c r="A72" s="15" t="s">
        <v>183</v>
      </c>
      <c r="B72" s="15" t="s">
        <v>182</v>
      </c>
      <c r="C72" s="15" t="s">
        <v>14</v>
      </c>
      <c r="D72" s="15" t="n">
        <v>4</v>
      </c>
      <c r="E72" s="15" t="s">
        <v>596</v>
      </c>
      <c r="F72" s="15" t="s">
        <v>597</v>
      </c>
    </row>
    <row r="73" customFormat="false" ht="15" hidden="false" customHeight="false" outlineLevel="0" collapsed="false">
      <c r="A73" s="15" t="s">
        <v>183</v>
      </c>
      <c r="B73" s="15" t="s">
        <v>182</v>
      </c>
      <c r="C73" s="15" t="s">
        <v>14</v>
      </c>
      <c r="D73" s="15" t="n">
        <v>5</v>
      </c>
      <c r="E73" s="15" t="s">
        <v>506</v>
      </c>
      <c r="F73" s="15" t="s">
        <v>507</v>
      </c>
    </row>
    <row r="74" customFormat="false" ht="15" hidden="false" customHeight="false" outlineLevel="0" collapsed="false">
      <c r="A74" s="15" t="s">
        <v>188</v>
      </c>
      <c r="B74" s="15" t="s">
        <v>187</v>
      </c>
      <c r="C74" s="15" t="s">
        <v>14</v>
      </c>
      <c r="D74" s="15" t="n">
        <v>1</v>
      </c>
      <c r="E74" s="15" t="s">
        <v>584</v>
      </c>
      <c r="F74" s="15" t="s">
        <v>598</v>
      </c>
    </row>
    <row r="75" customFormat="false" ht="15" hidden="false" customHeight="false" outlineLevel="0" collapsed="false">
      <c r="A75" s="15" t="s">
        <v>188</v>
      </c>
      <c r="B75" s="15" t="s">
        <v>187</v>
      </c>
      <c r="C75" s="15" t="s">
        <v>14</v>
      </c>
      <c r="D75" s="15" t="n">
        <v>2</v>
      </c>
      <c r="E75" s="15" t="s">
        <v>526</v>
      </c>
      <c r="F75" s="15" t="s">
        <v>527</v>
      </c>
    </row>
    <row r="76" customFormat="false" ht="15" hidden="false" customHeight="false" outlineLevel="0" collapsed="false">
      <c r="A76" s="15" t="s">
        <v>188</v>
      </c>
      <c r="B76" s="15" t="s">
        <v>187</v>
      </c>
      <c r="C76" s="15" t="s">
        <v>14</v>
      </c>
      <c r="D76" s="15" t="n">
        <v>3</v>
      </c>
      <c r="E76" s="15" t="s">
        <v>599</v>
      </c>
      <c r="F76" s="15" t="s">
        <v>529</v>
      </c>
    </row>
    <row r="77" customFormat="false" ht="15" hidden="false" customHeight="false" outlineLevel="0" collapsed="false">
      <c r="A77" s="15" t="s">
        <v>193</v>
      </c>
      <c r="B77" s="15" t="s">
        <v>192</v>
      </c>
      <c r="C77" s="15" t="s">
        <v>14</v>
      </c>
      <c r="D77" s="15" t="n">
        <v>1</v>
      </c>
      <c r="E77" s="15" t="s">
        <v>600</v>
      </c>
      <c r="F77" s="15" t="s">
        <v>601</v>
      </c>
    </row>
    <row r="78" customFormat="false" ht="15" hidden="false" customHeight="false" outlineLevel="0" collapsed="false">
      <c r="A78" s="15" t="s">
        <v>193</v>
      </c>
      <c r="B78" s="15" t="s">
        <v>192</v>
      </c>
      <c r="C78" s="15" t="s">
        <v>14</v>
      </c>
      <c r="D78" s="15" t="n">
        <v>2</v>
      </c>
      <c r="E78" s="15" t="s">
        <v>602</v>
      </c>
      <c r="F78" s="15" t="s">
        <v>603</v>
      </c>
    </row>
    <row r="79" customFormat="false" ht="15" hidden="false" customHeight="false" outlineLevel="0" collapsed="false">
      <c r="A79" s="15" t="s">
        <v>193</v>
      </c>
      <c r="B79" s="15" t="s">
        <v>192</v>
      </c>
      <c r="C79" s="15" t="s">
        <v>14</v>
      </c>
      <c r="D79" s="15" t="n">
        <v>3</v>
      </c>
      <c r="E79" s="15" t="s">
        <v>604</v>
      </c>
      <c r="F79" s="15" t="s">
        <v>605</v>
      </c>
    </row>
    <row r="80" customFormat="false" ht="15" hidden="false" customHeight="false" outlineLevel="0" collapsed="false">
      <c r="A80" s="15" t="s">
        <v>193</v>
      </c>
      <c r="B80" s="15" t="s">
        <v>192</v>
      </c>
      <c r="C80" s="15" t="s">
        <v>14</v>
      </c>
      <c r="D80" s="15" t="n">
        <v>4</v>
      </c>
      <c r="E80" s="15" t="s">
        <v>606</v>
      </c>
      <c r="F80" s="15" t="s">
        <v>607</v>
      </c>
    </row>
    <row r="81" customFormat="false" ht="15" hidden="false" customHeight="false" outlineLevel="0" collapsed="false">
      <c r="A81" s="15" t="s">
        <v>193</v>
      </c>
      <c r="B81" s="15" t="s">
        <v>192</v>
      </c>
      <c r="C81" s="15" t="s">
        <v>14</v>
      </c>
      <c r="D81" s="15" t="n">
        <v>5</v>
      </c>
      <c r="E81" s="15" t="s">
        <v>506</v>
      </c>
      <c r="F81" s="15" t="s">
        <v>507</v>
      </c>
    </row>
    <row r="82" customFormat="false" ht="15" hidden="false" customHeight="false" outlineLevel="0" collapsed="false">
      <c r="A82" s="15" t="s">
        <v>198</v>
      </c>
      <c r="B82" s="15" t="s">
        <v>197</v>
      </c>
      <c r="C82" s="15" t="s">
        <v>14</v>
      </c>
      <c r="D82" s="15" t="n">
        <v>1</v>
      </c>
      <c r="E82" s="15" t="s">
        <v>606</v>
      </c>
      <c r="F82" s="15" t="s">
        <v>607</v>
      </c>
    </row>
    <row r="83" customFormat="false" ht="15" hidden="false" customHeight="false" outlineLevel="0" collapsed="false">
      <c r="A83" s="15" t="s">
        <v>198</v>
      </c>
      <c r="B83" s="15" t="s">
        <v>197</v>
      </c>
      <c r="C83" s="15" t="s">
        <v>14</v>
      </c>
      <c r="D83" s="15" t="n">
        <v>2</v>
      </c>
      <c r="E83" s="15" t="s">
        <v>608</v>
      </c>
      <c r="F83" s="15" t="s">
        <v>609</v>
      </c>
    </row>
    <row r="84" customFormat="false" ht="15" hidden="false" customHeight="false" outlineLevel="0" collapsed="false">
      <c r="A84" s="15" t="s">
        <v>198</v>
      </c>
      <c r="B84" s="15" t="s">
        <v>197</v>
      </c>
      <c r="C84" s="15" t="s">
        <v>14</v>
      </c>
      <c r="D84" s="15" t="n">
        <v>3</v>
      </c>
      <c r="E84" s="15" t="s">
        <v>610</v>
      </c>
      <c r="F84" s="15" t="s">
        <v>611</v>
      </c>
    </row>
    <row r="85" customFormat="false" ht="15" hidden="false" customHeight="false" outlineLevel="0" collapsed="false">
      <c r="A85" s="15" t="s">
        <v>198</v>
      </c>
      <c r="B85" s="15" t="s">
        <v>197</v>
      </c>
      <c r="C85" s="15" t="s">
        <v>14</v>
      </c>
      <c r="D85" s="15" t="n">
        <v>4</v>
      </c>
      <c r="E85" s="15" t="s">
        <v>612</v>
      </c>
      <c r="F85" s="15" t="s">
        <v>613</v>
      </c>
    </row>
    <row r="86" customFormat="false" ht="15" hidden="false" customHeight="false" outlineLevel="0" collapsed="false">
      <c r="A86" s="15" t="s">
        <v>198</v>
      </c>
      <c r="B86" s="15" t="s">
        <v>197</v>
      </c>
      <c r="C86" s="15" t="s">
        <v>14</v>
      </c>
      <c r="D86" s="15" t="n">
        <v>5</v>
      </c>
      <c r="E86" s="15" t="s">
        <v>614</v>
      </c>
      <c r="F86" s="15" t="s">
        <v>615</v>
      </c>
    </row>
    <row r="87" customFormat="false" ht="15" hidden="false" customHeight="false" outlineLevel="0" collapsed="false">
      <c r="A87" s="15" t="s">
        <v>203</v>
      </c>
      <c r="B87" s="15" t="s">
        <v>202</v>
      </c>
      <c r="C87" s="15" t="s">
        <v>14</v>
      </c>
      <c r="D87" s="15" t="n">
        <v>1</v>
      </c>
      <c r="E87" s="15" t="s">
        <v>492</v>
      </c>
      <c r="F87" s="15" t="s">
        <v>493</v>
      </c>
    </row>
    <row r="88" customFormat="false" ht="15" hidden="false" customHeight="false" outlineLevel="0" collapsed="false">
      <c r="A88" s="15" t="s">
        <v>203</v>
      </c>
      <c r="B88" s="15" t="s">
        <v>202</v>
      </c>
      <c r="C88" s="15" t="s">
        <v>14</v>
      </c>
      <c r="D88" s="15" t="n">
        <v>2</v>
      </c>
      <c r="E88" s="15" t="s">
        <v>616</v>
      </c>
      <c r="F88" s="15" t="s">
        <v>617</v>
      </c>
    </row>
    <row r="89" customFormat="false" ht="15" hidden="false" customHeight="false" outlineLevel="0" collapsed="false">
      <c r="A89" s="15" t="s">
        <v>203</v>
      </c>
      <c r="B89" s="15" t="s">
        <v>202</v>
      </c>
      <c r="C89" s="15" t="s">
        <v>14</v>
      </c>
      <c r="D89" s="15" t="n">
        <v>3</v>
      </c>
      <c r="E89" s="15" t="s">
        <v>534</v>
      </c>
      <c r="F89" s="15" t="s">
        <v>618</v>
      </c>
    </row>
    <row r="90" customFormat="false" ht="15" hidden="false" customHeight="false" outlineLevel="0" collapsed="false">
      <c r="A90" s="15" t="s">
        <v>208</v>
      </c>
      <c r="B90" s="15" t="s">
        <v>207</v>
      </c>
      <c r="C90" s="15" t="s">
        <v>14</v>
      </c>
      <c r="D90" s="15" t="n">
        <v>1</v>
      </c>
      <c r="E90" s="15" t="s">
        <v>508</v>
      </c>
      <c r="F90" s="15" t="s">
        <v>509</v>
      </c>
    </row>
    <row r="91" customFormat="false" ht="15" hidden="false" customHeight="false" outlineLevel="0" collapsed="false">
      <c r="A91" s="15" t="s">
        <v>208</v>
      </c>
      <c r="B91" s="15" t="s">
        <v>207</v>
      </c>
      <c r="C91" s="15" t="s">
        <v>14</v>
      </c>
      <c r="D91" s="15" t="n">
        <v>2</v>
      </c>
      <c r="E91" s="15" t="s">
        <v>619</v>
      </c>
      <c r="F91" s="15" t="s">
        <v>620</v>
      </c>
    </row>
    <row r="92" customFormat="false" ht="15" hidden="false" customHeight="false" outlineLevel="0" collapsed="false">
      <c r="A92" s="15" t="s">
        <v>208</v>
      </c>
      <c r="B92" s="15" t="s">
        <v>207</v>
      </c>
      <c r="C92" s="15" t="s">
        <v>14</v>
      </c>
      <c r="D92" s="15" t="n">
        <v>3</v>
      </c>
      <c r="E92" s="15" t="s">
        <v>621</v>
      </c>
      <c r="F92" s="15" t="s">
        <v>622</v>
      </c>
    </row>
    <row r="93" customFormat="false" ht="15" hidden="false" customHeight="false" outlineLevel="0" collapsed="false">
      <c r="A93" s="15" t="s">
        <v>208</v>
      </c>
      <c r="B93" s="15" t="s">
        <v>207</v>
      </c>
      <c r="C93" s="15" t="s">
        <v>14</v>
      </c>
      <c r="D93" s="15" t="n">
        <v>4</v>
      </c>
      <c r="E93" s="15" t="s">
        <v>623</v>
      </c>
      <c r="F93" s="15" t="s">
        <v>624</v>
      </c>
    </row>
    <row r="94" customFormat="false" ht="15" hidden="false" customHeight="false" outlineLevel="0" collapsed="false">
      <c r="A94" s="15" t="s">
        <v>208</v>
      </c>
      <c r="B94" s="15" t="s">
        <v>207</v>
      </c>
      <c r="C94" s="15" t="s">
        <v>14</v>
      </c>
      <c r="D94" s="15" t="n">
        <v>5</v>
      </c>
      <c r="E94" s="15" t="s">
        <v>625</v>
      </c>
      <c r="F94" s="15" t="s">
        <v>626</v>
      </c>
    </row>
    <row r="95" customFormat="false" ht="15" hidden="false" customHeight="false" outlineLevel="0" collapsed="false">
      <c r="A95" s="15" t="s">
        <v>213</v>
      </c>
      <c r="B95" s="15" t="s">
        <v>212</v>
      </c>
      <c r="C95" s="15" t="s">
        <v>14</v>
      </c>
      <c r="D95" s="15" t="n">
        <v>1</v>
      </c>
      <c r="E95" s="15" t="s">
        <v>627</v>
      </c>
      <c r="F95" s="15" t="s">
        <v>628</v>
      </c>
    </row>
    <row r="96" customFormat="false" ht="15" hidden="false" customHeight="false" outlineLevel="0" collapsed="false">
      <c r="A96" s="15" t="s">
        <v>213</v>
      </c>
      <c r="B96" s="15" t="s">
        <v>212</v>
      </c>
      <c r="C96" s="15" t="s">
        <v>14</v>
      </c>
      <c r="D96" s="15" t="n">
        <v>2</v>
      </c>
      <c r="E96" s="15" t="s">
        <v>616</v>
      </c>
      <c r="F96" s="15" t="s">
        <v>617</v>
      </c>
    </row>
    <row r="97" customFormat="false" ht="15" hidden="false" customHeight="false" outlineLevel="0" collapsed="false">
      <c r="A97" s="15" t="s">
        <v>213</v>
      </c>
      <c r="B97" s="15" t="s">
        <v>212</v>
      </c>
      <c r="C97" s="15" t="s">
        <v>14</v>
      </c>
      <c r="D97" s="15" t="n">
        <v>3</v>
      </c>
      <c r="E97" s="15" t="s">
        <v>534</v>
      </c>
      <c r="F97" s="15" t="s">
        <v>618</v>
      </c>
    </row>
    <row r="98" customFormat="false" ht="15" hidden="false" customHeight="false" outlineLevel="0" collapsed="false">
      <c r="A98" s="15" t="s">
        <v>218</v>
      </c>
      <c r="B98" s="15" t="s">
        <v>217</v>
      </c>
      <c r="C98" s="15" t="s">
        <v>14</v>
      </c>
      <c r="D98" s="15" t="n">
        <v>1</v>
      </c>
      <c r="E98" s="15" t="s">
        <v>629</v>
      </c>
      <c r="F98" s="15" t="s">
        <v>574</v>
      </c>
    </row>
    <row r="99" customFormat="false" ht="15" hidden="false" customHeight="false" outlineLevel="0" collapsed="false">
      <c r="A99" s="15" t="s">
        <v>218</v>
      </c>
      <c r="B99" s="15" t="s">
        <v>217</v>
      </c>
      <c r="C99" s="15" t="s">
        <v>14</v>
      </c>
      <c r="D99" s="15" t="n">
        <v>2</v>
      </c>
      <c r="E99" s="15" t="s">
        <v>630</v>
      </c>
      <c r="F99" s="15" t="s">
        <v>576</v>
      </c>
    </row>
    <row r="100" customFormat="false" ht="15" hidden="false" customHeight="false" outlineLevel="0" collapsed="false">
      <c r="A100" s="15" t="s">
        <v>218</v>
      </c>
      <c r="B100" s="15" t="s">
        <v>217</v>
      </c>
      <c r="C100" s="15" t="s">
        <v>14</v>
      </c>
      <c r="D100" s="15" t="n">
        <v>3</v>
      </c>
      <c r="E100" s="15" t="s">
        <v>631</v>
      </c>
      <c r="F100" s="15" t="s">
        <v>578</v>
      </c>
    </row>
    <row r="101" customFormat="false" ht="15" hidden="false" customHeight="false" outlineLevel="0" collapsed="false">
      <c r="A101" s="15" t="s">
        <v>225</v>
      </c>
      <c r="B101" s="15" t="s">
        <v>224</v>
      </c>
      <c r="C101" s="15" t="s">
        <v>18</v>
      </c>
      <c r="D101" s="15" t="n">
        <v>1</v>
      </c>
      <c r="E101" s="15" t="s">
        <v>536</v>
      </c>
      <c r="F101" s="15" t="s">
        <v>537</v>
      </c>
    </row>
    <row r="102" customFormat="false" ht="15" hidden="false" customHeight="false" outlineLevel="0" collapsed="false">
      <c r="A102" s="15" t="s">
        <v>225</v>
      </c>
      <c r="B102" s="15" t="s">
        <v>224</v>
      </c>
      <c r="C102" s="15" t="s">
        <v>18</v>
      </c>
      <c r="D102" s="15" t="n">
        <v>2</v>
      </c>
      <c r="E102" s="15" t="s">
        <v>538</v>
      </c>
      <c r="F102" s="15" t="s">
        <v>539</v>
      </c>
    </row>
    <row r="103" customFormat="false" ht="15" hidden="false" customHeight="false" outlineLevel="0" collapsed="false">
      <c r="A103" s="15" t="s">
        <v>225</v>
      </c>
      <c r="B103" s="15" t="s">
        <v>224</v>
      </c>
      <c r="C103" s="15" t="s">
        <v>18</v>
      </c>
      <c r="D103" s="15" t="n">
        <v>3</v>
      </c>
      <c r="E103" s="15" t="s">
        <v>540</v>
      </c>
      <c r="F103" s="15" t="s">
        <v>541</v>
      </c>
    </row>
    <row r="104" customFormat="false" ht="15" hidden="false" customHeight="false" outlineLevel="0" collapsed="false">
      <c r="A104" s="15" t="s">
        <v>225</v>
      </c>
      <c r="B104" s="15" t="s">
        <v>224</v>
      </c>
      <c r="C104" s="15" t="s">
        <v>18</v>
      </c>
      <c r="D104" s="15" t="n">
        <v>4</v>
      </c>
      <c r="E104" s="15" t="s">
        <v>542</v>
      </c>
      <c r="F104" s="15" t="s">
        <v>543</v>
      </c>
    </row>
    <row r="105" customFormat="false" ht="15" hidden="false" customHeight="false" outlineLevel="0" collapsed="false">
      <c r="A105" s="15" t="s">
        <v>225</v>
      </c>
      <c r="B105" s="15" t="s">
        <v>224</v>
      </c>
      <c r="C105" s="15" t="s">
        <v>18</v>
      </c>
      <c r="D105" s="15" t="n">
        <v>5</v>
      </c>
      <c r="E105" s="15" t="s">
        <v>579</v>
      </c>
      <c r="F105" s="15" t="s">
        <v>580</v>
      </c>
    </row>
    <row r="106" customFormat="false" ht="15" hidden="false" customHeight="false" outlineLevel="0" collapsed="false">
      <c r="A106" s="15" t="s">
        <v>231</v>
      </c>
      <c r="B106" s="15" t="s">
        <v>230</v>
      </c>
      <c r="C106" s="15" t="s">
        <v>18</v>
      </c>
      <c r="D106" s="15" t="n">
        <v>1</v>
      </c>
      <c r="E106" s="15" t="s">
        <v>492</v>
      </c>
      <c r="F106" s="15" t="s">
        <v>493</v>
      </c>
    </row>
    <row r="107" customFormat="false" ht="15" hidden="false" customHeight="false" outlineLevel="0" collapsed="false">
      <c r="A107" s="15" t="s">
        <v>231</v>
      </c>
      <c r="B107" s="15" t="s">
        <v>230</v>
      </c>
      <c r="C107" s="15" t="s">
        <v>18</v>
      </c>
      <c r="D107" s="15" t="n">
        <v>2</v>
      </c>
      <c r="E107" s="15" t="s">
        <v>534</v>
      </c>
      <c r="F107" s="15" t="s">
        <v>618</v>
      </c>
    </row>
    <row r="108" customFormat="false" ht="15" hidden="false" customHeight="false" outlineLevel="0" collapsed="false">
      <c r="A108" s="15" t="s">
        <v>239</v>
      </c>
      <c r="B108" s="15" t="s">
        <v>238</v>
      </c>
      <c r="C108" s="15" t="s">
        <v>18</v>
      </c>
      <c r="D108" s="15" t="n">
        <v>1</v>
      </c>
      <c r="E108" s="15" t="s">
        <v>632</v>
      </c>
      <c r="F108" s="15" t="s">
        <v>633</v>
      </c>
    </row>
    <row r="109" customFormat="false" ht="15" hidden="false" customHeight="false" outlineLevel="0" collapsed="false">
      <c r="A109" s="15" t="s">
        <v>239</v>
      </c>
      <c r="B109" s="15" t="s">
        <v>238</v>
      </c>
      <c r="C109" s="15" t="s">
        <v>18</v>
      </c>
      <c r="D109" s="15" t="n">
        <v>2</v>
      </c>
      <c r="E109" s="15" t="s">
        <v>634</v>
      </c>
      <c r="F109" s="15" t="s">
        <v>635</v>
      </c>
    </row>
    <row r="110" customFormat="false" ht="15" hidden="false" customHeight="false" outlineLevel="0" collapsed="false">
      <c r="A110" s="15" t="s">
        <v>239</v>
      </c>
      <c r="B110" s="15" t="s">
        <v>238</v>
      </c>
      <c r="C110" s="15" t="s">
        <v>18</v>
      </c>
      <c r="D110" s="15" t="n">
        <v>3</v>
      </c>
      <c r="E110" s="15" t="s">
        <v>636</v>
      </c>
      <c r="F110" s="15" t="s">
        <v>637</v>
      </c>
    </row>
    <row r="111" customFormat="false" ht="15" hidden="false" customHeight="false" outlineLevel="0" collapsed="false">
      <c r="A111" s="15" t="s">
        <v>239</v>
      </c>
      <c r="B111" s="15" t="s">
        <v>238</v>
      </c>
      <c r="C111" s="15" t="s">
        <v>18</v>
      </c>
      <c r="D111" s="15" t="n">
        <v>4</v>
      </c>
      <c r="E111" s="15" t="s">
        <v>638</v>
      </c>
      <c r="F111" s="15" t="s">
        <v>639</v>
      </c>
    </row>
    <row r="112" customFormat="false" ht="15" hidden="false" customHeight="false" outlineLevel="0" collapsed="false">
      <c r="A112" s="15" t="s">
        <v>239</v>
      </c>
      <c r="B112" s="15" t="s">
        <v>238</v>
      </c>
      <c r="C112" s="15" t="s">
        <v>18</v>
      </c>
      <c r="D112" s="15" t="n">
        <v>5</v>
      </c>
      <c r="E112" s="15" t="s">
        <v>506</v>
      </c>
      <c r="F112" s="15" t="s">
        <v>507</v>
      </c>
    </row>
    <row r="113" customFormat="false" ht="15" hidden="false" customHeight="false" outlineLevel="0" collapsed="false">
      <c r="A113" s="15" t="s">
        <v>246</v>
      </c>
      <c r="B113" s="15" t="s">
        <v>245</v>
      </c>
      <c r="C113" s="15" t="s">
        <v>18</v>
      </c>
      <c r="D113" s="15" t="n">
        <v>1</v>
      </c>
      <c r="E113" s="15" t="s">
        <v>640</v>
      </c>
      <c r="F113" s="15" t="s">
        <v>641</v>
      </c>
    </row>
    <row r="114" customFormat="false" ht="15" hidden="false" customHeight="false" outlineLevel="0" collapsed="false">
      <c r="A114" s="15" t="s">
        <v>246</v>
      </c>
      <c r="B114" s="15" t="s">
        <v>245</v>
      </c>
      <c r="C114" s="15" t="s">
        <v>18</v>
      </c>
      <c r="D114" s="15" t="n">
        <v>2</v>
      </c>
      <c r="E114" s="15" t="s">
        <v>642</v>
      </c>
      <c r="F114" s="15" t="s">
        <v>643</v>
      </c>
    </row>
    <row r="115" customFormat="false" ht="15" hidden="false" customHeight="false" outlineLevel="0" collapsed="false">
      <c r="A115" s="15" t="s">
        <v>246</v>
      </c>
      <c r="B115" s="15" t="s">
        <v>245</v>
      </c>
      <c r="C115" s="15" t="s">
        <v>18</v>
      </c>
      <c r="D115" s="15" t="n">
        <v>3</v>
      </c>
      <c r="E115" s="15" t="s">
        <v>644</v>
      </c>
      <c r="F115" s="15" t="s">
        <v>645</v>
      </c>
    </row>
    <row r="116" customFormat="false" ht="15" hidden="false" customHeight="false" outlineLevel="0" collapsed="false">
      <c r="A116" s="15" t="s">
        <v>246</v>
      </c>
      <c r="B116" s="15" t="s">
        <v>245</v>
      </c>
      <c r="C116" s="15" t="s">
        <v>18</v>
      </c>
      <c r="D116" s="15" t="n">
        <v>4</v>
      </c>
      <c r="E116" s="15" t="s">
        <v>646</v>
      </c>
      <c r="F116" s="15" t="s">
        <v>557</v>
      </c>
    </row>
    <row r="117" customFormat="false" ht="15" hidden="false" customHeight="false" outlineLevel="0" collapsed="false">
      <c r="A117" s="15" t="s">
        <v>253</v>
      </c>
      <c r="B117" s="15" t="s">
        <v>252</v>
      </c>
      <c r="C117" s="15" t="s">
        <v>18</v>
      </c>
      <c r="D117" s="15" t="n">
        <v>1</v>
      </c>
      <c r="E117" s="15" t="s">
        <v>647</v>
      </c>
      <c r="F117" s="15" t="s">
        <v>647</v>
      </c>
    </row>
    <row r="118" customFormat="false" ht="15" hidden="false" customHeight="false" outlineLevel="0" collapsed="false">
      <c r="A118" s="15" t="s">
        <v>253</v>
      </c>
      <c r="B118" s="15" t="s">
        <v>252</v>
      </c>
      <c r="C118" s="15" t="s">
        <v>18</v>
      </c>
      <c r="D118" s="15" t="n">
        <v>2</v>
      </c>
      <c r="E118" s="15" t="s">
        <v>648</v>
      </c>
      <c r="F118" s="15" t="s">
        <v>649</v>
      </c>
    </row>
    <row r="119" customFormat="false" ht="15" hidden="false" customHeight="false" outlineLevel="0" collapsed="false">
      <c r="A119" s="15" t="s">
        <v>253</v>
      </c>
      <c r="B119" s="15" t="s">
        <v>252</v>
      </c>
      <c r="C119" s="15" t="s">
        <v>18</v>
      </c>
      <c r="D119" s="15" t="n">
        <v>3</v>
      </c>
      <c r="E119" s="15" t="s">
        <v>650</v>
      </c>
      <c r="F119" s="15" t="s">
        <v>651</v>
      </c>
    </row>
    <row r="120" customFormat="false" ht="15" hidden="false" customHeight="false" outlineLevel="0" collapsed="false">
      <c r="A120" s="15" t="s">
        <v>253</v>
      </c>
      <c r="B120" s="15" t="s">
        <v>252</v>
      </c>
      <c r="C120" s="15" t="s">
        <v>18</v>
      </c>
      <c r="D120" s="15" t="n">
        <v>4</v>
      </c>
      <c r="E120" s="15" t="s">
        <v>652</v>
      </c>
      <c r="F120" s="15" t="s">
        <v>653</v>
      </c>
    </row>
    <row r="121" customFormat="false" ht="15" hidden="false" customHeight="false" outlineLevel="0" collapsed="false">
      <c r="A121" s="15" t="s">
        <v>253</v>
      </c>
      <c r="B121" s="15" t="s">
        <v>252</v>
      </c>
      <c r="C121" s="15" t="s">
        <v>18</v>
      </c>
      <c r="D121" s="15" t="n">
        <v>5</v>
      </c>
      <c r="E121" s="15" t="s">
        <v>506</v>
      </c>
      <c r="F121" s="15" t="s">
        <v>507</v>
      </c>
    </row>
    <row r="122" customFormat="false" ht="15" hidden="false" customHeight="false" outlineLevel="0" collapsed="false">
      <c r="A122" s="15" t="s">
        <v>259</v>
      </c>
      <c r="B122" s="15" t="s">
        <v>258</v>
      </c>
      <c r="C122" s="15" t="s">
        <v>18</v>
      </c>
      <c r="D122" s="15" t="n">
        <v>1</v>
      </c>
      <c r="E122" s="15" t="s">
        <v>654</v>
      </c>
      <c r="F122" s="15" t="s">
        <v>655</v>
      </c>
    </row>
    <row r="123" customFormat="false" ht="15" hidden="false" customHeight="false" outlineLevel="0" collapsed="false">
      <c r="A123" s="15" t="s">
        <v>259</v>
      </c>
      <c r="B123" s="15" t="s">
        <v>258</v>
      </c>
      <c r="C123" s="15" t="s">
        <v>18</v>
      </c>
      <c r="D123" s="15" t="n">
        <v>2</v>
      </c>
      <c r="E123" s="15" t="s">
        <v>656</v>
      </c>
      <c r="F123" s="15" t="s">
        <v>657</v>
      </c>
    </row>
    <row r="124" customFormat="false" ht="15" hidden="false" customHeight="false" outlineLevel="0" collapsed="false">
      <c r="A124" s="15" t="s">
        <v>259</v>
      </c>
      <c r="B124" s="15" t="s">
        <v>258</v>
      </c>
      <c r="C124" s="15" t="s">
        <v>18</v>
      </c>
      <c r="D124" s="15" t="n">
        <v>3</v>
      </c>
      <c r="E124" s="15" t="s">
        <v>658</v>
      </c>
      <c r="F124" s="15" t="s">
        <v>659</v>
      </c>
    </row>
    <row r="125" customFormat="false" ht="15" hidden="false" customHeight="false" outlineLevel="0" collapsed="false">
      <c r="A125" s="15" t="s">
        <v>259</v>
      </c>
      <c r="B125" s="15" t="s">
        <v>258</v>
      </c>
      <c r="C125" s="15" t="s">
        <v>18</v>
      </c>
      <c r="D125" s="15" t="n">
        <v>4</v>
      </c>
      <c r="E125" s="15" t="s">
        <v>660</v>
      </c>
      <c r="F125" s="15" t="s">
        <v>637</v>
      </c>
    </row>
    <row r="126" customFormat="false" ht="15" hidden="false" customHeight="false" outlineLevel="0" collapsed="false">
      <c r="A126" s="15" t="s">
        <v>259</v>
      </c>
      <c r="B126" s="15" t="s">
        <v>258</v>
      </c>
      <c r="C126" s="15" t="s">
        <v>18</v>
      </c>
      <c r="D126" s="15" t="n">
        <v>5</v>
      </c>
      <c r="E126" s="15" t="s">
        <v>506</v>
      </c>
      <c r="F126" s="15" t="s">
        <v>507</v>
      </c>
    </row>
    <row r="127" customFormat="false" ht="15" hidden="false" customHeight="false" outlineLevel="0" collapsed="false">
      <c r="A127" s="15" t="s">
        <v>266</v>
      </c>
      <c r="B127" s="15" t="s">
        <v>265</v>
      </c>
      <c r="C127" s="15" t="s">
        <v>18</v>
      </c>
      <c r="D127" s="15" t="n">
        <v>1</v>
      </c>
      <c r="E127" s="15" t="s">
        <v>492</v>
      </c>
      <c r="F127" s="15" t="s">
        <v>493</v>
      </c>
    </row>
    <row r="128" customFormat="false" ht="15" hidden="false" customHeight="false" outlineLevel="0" collapsed="false">
      <c r="A128" s="15" t="s">
        <v>266</v>
      </c>
      <c r="B128" s="15" t="s">
        <v>265</v>
      </c>
      <c r="C128" s="15" t="s">
        <v>18</v>
      </c>
      <c r="D128" s="15" t="n">
        <v>2</v>
      </c>
      <c r="E128" s="15" t="s">
        <v>661</v>
      </c>
      <c r="F128" s="15" t="s">
        <v>662</v>
      </c>
    </row>
    <row r="129" customFormat="false" ht="15" hidden="false" customHeight="false" outlineLevel="0" collapsed="false">
      <c r="A129" s="15" t="s">
        <v>266</v>
      </c>
      <c r="B129" s="15" t="s">
        <v>265</v>
      </c>
      <c r="C129" s="15" t="s">
        <v>18</v>
      </c>
      <c r="D129" s="15" t="n">
        <v>3</v>
      </c>
      <c r="E129" s="15" t="s">
        <v>534</v>
      </c>
      <c r="F129" s="15" t="s">
        <v>618</v>
      </c>
    </row>
    <row r="130" customFormat="false" ht="15" hidden="false" customHeight="false" outlineLevel="0" collapsed="false">
      <c r="A130" s="15" t="s">
        <v>266</v>
      </c>
      <c r="B130" s="15" t="s">
        <v>265</v>
      </c>
      <c r="C130" s="15" t="s">
        <v>18</v>
      </c>
      <c r="D130" s="15" t="n">
        <v>4</v>
      </c>
      <c r="E130" s="15" t="s">
        <v>663</v>
      </c>
      <c r="F130" s="15" t="s">
        <v>664</v>
      </c>
    </row>
    <row r="131" customFormat="false" ht="15" hidden="false" customHeight="false" outlineLevel="0" collapsed="false">
      <c r="A131" s="15" t="s">
        <v>272</v>
      </c>
      <c r="B131" s="15" t="s">
        <v>271</v>
      </c>
      <c r="C131" s="15" t="s">
        <v>18</v>
      </c>
      <c r="D131" s="15" t="n">
        <v>1</v>
      </c>
      <c r="E131" s="15" t="s">
        <v>516</v>
      </c>
      <c r="F131" s="15" t="s">
        <v>517</v>
      </c>
    </row>
    <row r="132" customFormat="false" ht="15" hidden="false" customHeight="false" outlineLevel="0" collapsed="false">
      <c r="A132" s="15" t="s">
        <v>272</v>
      </c>
      <c r="B132" s="15" t="s">
        <v>271</v>
      </c>
      <c r="C132" s="15" t="s">
        <v>18</v>
      </c>
      <c r="D132" s="15" t="n">
        <v>2</v>
      </c>
      <c r="E132" s="15" t="s">
        <v>665</v>
      </c>
      <c r="F132" s="15" t="s">
        <v>666</v>
      </c>
    </row>
    <row r="133" customFormat="false" ht="15" hidden="false" customHeight="false" outlineLevel="0" collapsed="false">
      <c r="A133" s="15" t="s">
        <v>272</v>
      </c>
      <c r="B133" s="15" t="s">
        <v>271</v>
      </c>
      <c r="C133" s="15" t="s">
        <v>18</v>
      </c>
      <c r="D133" s="15" t="n">
        <v>3</v>
      </c>
      <c r="E133" s="15" t="s">
        <v>667</v>
      </c>
      <c r="F133" s="15" t="s">
        <v>668</v>
      </c>
    </row>
    <row r="134" customFormat="false" ht="15" hidden="false" customHeight="false" outlineLevel="0" collapsed="false">
      <c r="A134" s="15" t="s">
        <v>272</v>
      </c>
      <c r="B134" s="15" t="s">
        <v>271</v>
      </c>
      <c r="C134" s="15" t="s">
        <v>18</v>
      </c>
      <c r="D134" s="15" t="n">
        <v>4</v>
      </c>
      <c r="E134" s="15" t="s">
        <v>669</v>
      </c>
      <c r="F134" s="15" t="s">
        <v>670</v>
      </c>
    </row>
    <row r="135" customFormat="false" ht="15" hidden="false" customHeight="false" outlineLevel="0" collapsed="false">
      <c r="A135" s="15" t="s">
        <v>278</v>
      </c>
      <c r="B135" s="15" t="s">
        <v>277</v>
      </c>
      <c r="C135" s="15" t="s">
        <v>22</v>
      </c>
      <c r="D135" s="15" t="n">
        <v>1</v>
      </c>
      <c r="E135" s="15" t="s">
        <v>556</v>
      </c>
      <c r="F135" s="15" t="s">
        <v>557</v>
      </c>
    </row>
    <row r="136" customFormat="false" ht="15" hidden="false" customHeight="false" outlineLevel="0" collapsed="false">
      <c r="A136" s="15" t="s">
        <v>278</v>
      </c>
      <c r="B136" s="15" t="s">
        <v>277</v>
      </c>
      <c r="C136" s="15" t="s">
        <v>22</v>
      </c>
      <c r="D136" s="15" t="n">
        <v>2</v>
      </c>
      <c r="E136" s="15" t="s">
        <v>671</v>
      </c>
      <c r="F136" s="15" t="s">
        <v>672</v>
      </c>
    </row>
    <row r="137" customFormat="false" ht="15" hidden="false" customHeight="false" outlineLevel="0" collapsed="false">
      <c r="A137" s="15" t="s">
        <v>278</v>
      </c>
      <c r="B137" s="15" t="s">
        <v>277</v>
      </c>
      <c r="C137" s="15" t="s">
        <v>22</v>
      </c>
      <c r="D137" s="15" t="n">
        <v>3</v>
      </c>
      <c r="E137" s="15" t="s">
        <v>673</v>
      </c>
      <c r="F137" s="15" t="s">
        <v>673</v>
      </c>
    </row>
    <row r="138" customFormat="false" ht="15" hidden="false" customHeight="false" outlineLevel="0" collapsed="false">
      <c r="A138" s="15" t="s">
        <v>278</v>
      </c>
      <c r="B138" s="15" t="s">
        <v>277</v>
      </c>
      <c r="C138" s="15" t="s">
        <v>22</v>
      </c>
      <c r="D138" s="15" t="n">
        <v>4</v>
      </c>
      <c r="E138" s="15" t="s">
        <v>674</v>
      </c>
      <c r="F138" s="15" t="s">
        <v>674</v>
      </c>
    </row>
    <row r="139" customFormat="false" ht="15" hidden="false" customHeight="false" outlineLevel="0" collapsed="false">
      <c r="A139" s="15" t="s">
        <v>278</v>
      </c>
      <c r="B139" s="15" t="s">
        <v>277</v>
      </c>
      <c r="C139" s="15" t="s">
        <v>22</v>
      </c>
      <c r="D139" s="15" t="n">
        <v>5</v>
      </c>
      <c r="E139" s="15" t="s">
        <v>675</v>
      </c>
      <c r="F139" s="15" t="s">
        <v>676</v>
      </c>
    </row>
    <row r="140" customFormat="false" ht="15" hidden="false" customHeight="false" outlineLevel="0" collapsed="false">
      <c r="A140" s="15" t="s">
        <v>283</v>
      </c>
      <c r="B140" s="15" t="s">
        <v>282</v>
      </c>
      <c r="C140" s="15" t="s">
        <v>22</v>
      </c>
      <c r="D140" s="15" t="n">
        <v>1</v>
      </c>
      <c r="E140" s="15" t="s">
        <v>556</v>
      </c>
      <c r="F140" s="15" t="s">
        <v>557</v>
      </c>
    </row>
    <row r="141" customFormat="false" ht="15" hidden="false" customHeight="false" outlineLevel="0" collapsed="false">
      <c r="A141" s="15" t="s">
        <v>283</v>
      </c>
      <c r="B141" s="15" t="s">
        <v>282</v>
      </c>
      <c r="C141" s="15" t="s">
        <v>22</v>
      </c>
      <c r="D141" s="15" t="n">
        <v>2</v>
      </c>
      <c r="E141" s="15" t="s">
        <v>671</v>
      </c>
      <c r="F141" s="15" t="s">
        <v>672</v>
      </c>
    </row>
    <row r="142" customFormat="false" ht="15" hidden="false" customHeight="false" outlineLevel="0" collapsed="false">
      <c r="A142" s="15" t="s">
        <v>283</v>
      </c>
      <c r="B142" s="15" t="s">
        <v>282</v>
      </c>
      <c r="C142" s="15" t="s">
        <v>22</v>
      </c>
      <c r="D142" s="15" t="n">
        <v>3</v>
      </c>
      <c r="E142" s="15" t="s">
        <v>673</v>
      </c>
      <c r="F142" s="15" t="s">
        <v>673</v>
      </c>
    </row>
    <row r="143" customFormat="false" ht="15" hidden="false" customHeight="false" outlineLevel="0" collapsed="false">
      <c r="A143" s="15" t="s">
        <v>283</v>
      </c>
      <c r="B143" s="15" t="s">
        <v>282</v>
      </c>
      <c r="C143" s="15" t="s">
        <v>22</v>
      </c>
      <c r="D143" s="15" t="n">
        <v>4</v>
      </c>
      <c r="E143" s="15" t="s">
        <v>674</v>
      </c>
      <c r="F143" s="15" t="s">
        <v>674</v>
      </c>
    </row>
    <row r="144" customFormat="false" ht="15" hidden="false" customHeight="false" outlineLevel="0" collapsed="false">
      <c r="A144" s="15" t="s">
        <v>283</v>
      </c>
      <c r="B144" s="15" t="s">
        <v>282</v>
      </c>
      <c r="C144" s="15" t="s">
        <v>22</v>
      </c>
      <c r="D144" s="15" t="n">
        <v>5</v>
      </c>
      <c r="E144" s="15" t="s">
        <v>675</v>
      </c>
      <c r="F144" s="15" t="s">
        <v>676</v>
      </c>
    </row>
    <row r="145" customFormat="false" ht="15" hidden="false" customHeight="false" outlineLevel="0" collapsed="false">
      <c r="A145" s="15" t="s">
        <v>288</v>
      </c>
      <c r="B145" s="15" t="s">
        <v>287</v>
      </c>
      <c r="C145" s="15" t="s">
        <v>22</v>
      </c>
      <c r="D145" s="15" t="n">
        <v>1</v>
      </c>
      <c r="E145" s="15" t="s">
        <v>564</v>
      </c>
      <c r="F145" s="15" t="s">
        <v>557</v>
      </c>
    </row>
    <row r="146" customFormat="false" ht="15" hidden="false" customHeight="false" outlineLevel="0" collapsed="false">
      <c r="A146" s="15" t="s">
        <v>288</v>
      </c>
      <c r="B146" s="15" t="s">
        <v>287</v>
      </c>
      <c r="C146" s="15" t="s">
        <v>22</v>
      </c>
      <c r="D146" s="15" t="n">
        <v>2</v>
      </c>
      <c r="E146" s="15" t="s">
        <v>565</v>
      </c>
      <c r="F146" s="15" t="s">
        <v>566</v>
      </c>
    </row>
    <row r="147" customFormat="false" ht="15" hidden="false" customHeight="false" outlineLevel="0" collapsed="false">
      <c r="A147" s="15" t="s">
        <v>288</v>
      </c>
      <c r="B147" s="15" t="s">
        <v>287</v>
      </c>
      <c r="C147" s="15" t="s">
        <v>22</v>
      </c>
      <c r="D147" s="15" t="n">
        <v>3</v>
      </c>
      <c r="E147" s="15" t="s">
        <v>567</v>
      </c>
      <c r="F147" s="15" t="s">
        <v>568</v>
      </c>
    </row>
    <row r="148" customFormat="false" ht="15" hidden="false" customHeight="false" outlineLevel="0" collapsed="false">
      <c r="A148" s="15" t="s">
        <v>288</v>
      </c>
      <c r="B148" s="15" t="s">
        <v>287</v>
      </c>
      <c r="C148" s="15" t="s">
        <v>22</v>
      </c>
      <c r="D148" s="15" t="n">
        <v>4</v>
      </c>
      <c r="E148" s="15" t="s">
        <v>569</v>
      </c>
      <c r="F148" s="15" t="s">
        <v>570</v>
      </c>
    </row>
    <row r="149" customFormat="false" ht="15" hidden="false" customHeight="false" outlineLevel="0" collapsed="false">
      <c r="A149" s="15" t="s">
        <v>288</v>
      </c>
      <c r="B149" s="15" t="s">
        <v>287</v>
      </c>
      <c r="C149" s="15" t="s">
        <v>22</v>
      </c>
      <c r="D149" s="15" t="n">
        <v>5</v>
      </c>
      <c r="E149" s="15" t="s">
        <v>571</v>
      </c>
      <c r="F149" s="15" t="s">
        <v>572</v>
      </c>
    </row>
    <row r="150" customFormat="false" ht="15" hidden="false" customHeight="false" outlineLevel="0" collapsed="false">
      <c r="A150" s="15" t="s">
        <v>292</v>
      </c>
      <c r="B150" s="15" t="s">
        <v>291</v>
      </c>
      <c r="C150" s="15" t="s">
        <v>22</v>
      </c>
      <c r="D150" s="15" t="n">
        <v>1</v>
      </c>
      <c r="E150" s="15" t="s">
        <v>677</v>
      </c>
      <c r="F150" s="15" t="s">
        <v>678</v>
      </c>
    </row>
    <row r="151" customFormat="false" ht="15" hidden="false" customHeight="false" outlineLevel="0" collapsed="false">
      <c r="A151" s="15" t="s">
        <v>292</v>
      </c>
      <c r="B151" s="15" t="s">
        <v>291</v>
      </c>
      <c r="C151" s="15" t="s">
        <v>22</v>
      </c>
      <c r="D151" s="15" t="n">
        <v>2</v>
      </c>
      <c r="E151" s="15" t="s">
        <v>679</v>
      </c>
      <c r="F151" s="15" t="s">
        <v>680</v>
      </c>
    </row>
    <row r="152" customFormat="false" ht="15" hidden="false" customHeight="false" outlineLevel="0" collapsed="false">
      <c r="A152" s="15" t="s">
        <v>292</v>
      </c>
      <c r="B152" s="15" t="s">
        <v>291</v>
      </c>
      <c r="C152" s="15" t="s">
        <v>22</v>
      </c>
      <c r="D152" s="15" t="n">
        <v>3</v>
      </c>
      <c r="E152" s="15" t="s">
        <v>681</v>
      </c>
      <c r="F152" s="15" t="s">
        <v>682</v>
      </c>
    </row>
    <row r="153" customFormat="false" ht="15" hidden="false" customHeight="false" outlineLevel="0" collapsed="false">
      <c r="A153" s="15" t="s">
        <v>292</v>
      </c>
      <c r="B153" s="15" t="s">
        <v>291</v>
      </c>
      <c r="C153" s="15" t="s">
        <v>22</v>
      </c>
      <c r="D153" s="15" t="n">
        <v>4</v>
      </c>
      <c r="E153" s="15" t="s">
        <v>683</v>
      </c>
      <c r="F153" s="15" t="s">
        <v>684</v>
      </c>
    </row>
    <row r="154" customFormat="false" ht="15" hidden="false" customHeight="false" outlineLevel="0" collapsed="false">
      <c r="A154" s="15" t="s">
        <v>292</v>
      </c>
      <c r="B154" s="15" t="s">
        <v>291</v>
      </c>
      <c r="C154" s="15" t="s">
        <v>22</v>
      </c>
      <c r="D154" s="15" t="n">
        <v>5</v>
      </c>
      <c r="E154" s="15" t="s">
        <v>685</v>
      </c>
      <c r="F154" s="15" t="s">
        <v>686</v>
      </c>
    </row>
    <row r="155" customFormat="false" ht="15" hidden="false" customHeight="false" outlineLevel="0" collapsed="false">
      <c r="A155" s="15" t="s">
        <v>298</v>
      </c>
      <c r="B155" s="15" t="s">
        <v>297</v>
      </c>
      <c r="C155" s="15" t="s">
        <v>22</v>
      </c>
      <c r="D155" s="15" t="n">
        <v>1</v>
      </c>
      <c r="E155" s="15" t="s">
        <v>687</v>
      </c>
      <c r="F155" s="15" t="s">
        <v>688</v>
      </c>
    </row>
    <row r="156" customFormat="false" ht="15" hidden="false" customHeight="false" outlineLevel="0" collapsed="false">
      <c r="A156" s="15" t="s">
        <v>298</v>
      </c>
      <c r="B156" s="15" t="s">
        <v>297</v>
      </c>
      <c r="C156" s="15" t="s">
        <v>22</v>
      </c>
      <c r="D156" s="15" t="n">
        <v>2</v>
      </c>
      <c r="E156" s="15" t="s">
        <v>689</v>
      </c>
      <c r="F156" s="15" t="s">
        <v>690</v>
      </c>
    </row>
    <row r="157" customFormat="false" ht="15" hidden="false" customHeight="false" outlineLevel="0" collapsed="false">
      <c r="A157" s="15" t="s">
        <v>298</v>
      </c>
      <c r="B157" s="15" t="s">
        <v>297</v>
      </c>
      <c r="C157" s="15" t="s">
        <v>22</v>
      </c>
      <c r="D157" s="15" t="n">
        <v>3</v>
      </c>
      <c r="E157" s="15" t="s">
        <v>691</v>
      </c>
      <c r="F157" s="15" t="s">
        <v>692</v>
      </c>
    </row>
    <row r="158" customFormat="false" ht="15" hidden="false" customHeight="false" outlineLevel="0" collapsed="false">
      <c r="A158" s="15" t="s">
        <v>298</v>
      </c>
      <c r="B158" s="15" t="s">
        <v>297</v>
      </c>
      <c r="C158" s="15" t="s">
        <v>22</v>
      </c>
      <c r="D158" s="15" t="n">
        <v>4</v>
      </c>
      <c r="E158" s="15" t="s">
        <v>685</v>
      </c>
      <c r="F158" s="15" t="s">
        <v>686</v>
      </c>
    </row>
    <row r="159" customFormat="false" ht="15" hidden="false" customHeight="false" outlineLevel="0" collapsed="false">
      <c r="A159" s="15" t="s">
        <v>305</v>
      </c>
      <c r="B159" s="15" t="s">
        <v>304</v>
      </c>
      <c r="C159" s="15" t="s">
        <v>22</v>
      </c>
      <c r="D159" s="15" t="n">
        <v>1</v>
      </c>
      <c r="E159" s="15" t="s">
        <v>693</v>
      </c>
      <c r="F159" s="15" t="s">
        <v>694</v>
      </c>
    </row>
    <row r="160" customFormat="false" ht="15" hidden="false" customHeight="false" outlineLevel="0" collapsed="false">
      <c r="A160" s="15" t="s">
        <v>305</v>
      </c>
      <c r="B160" s="15" t="s">
        <v>304</v>
      </c>
      <c r="C160" s="15" t="s">
        <v>22</v>
      </c>
      <c r="D160" s="15" t="n">
        <v>2</v>
      </c>
      <c r="E160" s="15" t="s">
        <v>695</v>
      </c>
      <c r="F160" s="15" t="s">
        <v>696</v>
      </c>
    </row>
    <row r="161" customFormat="false" ht="15" hidden="false" customHeight="false" outlineLevel="0" collapsed="false">
      <c r="A161" s="15" t="s">
        <v>305</v>
      </c>
      <c r="B161" s="15" t="s">
        <v>304</v>
      </c>
      <c r="C161" s="15" t="s">
        <v>22</v>
      </c>
      <c r="D161" s="15" t="n">
        <v>3</v>
      </c>
      <c r="E161" s="15" t="s">
        <v>697</v>
      </c>
      <c r="F161" s="15" t="s">
        <v>698</v>
      </c>
    </row>
    <row r="162" customFormat="false" ht="15" hidden="false" customHeight="false" outlineLevel="0" collapsed="false">
      <c r="A162" s="15" t="s">
        <v>305</v>
      </c>
      <c r="B162" s="15" t="s">
        <v>304</v>
      </c>
      <c r="C162" s="15" t="s">
        <v>22</v>
      </c>
      <c r="D162" s="15" t="n">
        <v>4</v>
      </c>
      <c r="E162" s="15" t="s">
        <v>699</v>
      </c>
      <c r="F162" s="15" t="s">
        <v>700</v>
      </c>
    </row>
    <row r="163" customFormat="false" ht="15" hidden="false" customHeight="false" outlineLevel="0" collapsed="false">
      <c r="A163" s="15" t="s">
        <v>312</v>
      </c>
      <c r="B163" s="15" t="s">
        <v>311</v>
      </c>
      <c r="C163" s="15" t="s">
        <v>22</v>
      </c>
      <c r="D163" s="15" t="n">
        <v>1</v>
      </c>
      <c r="E163" s="15" t="s">
        <v>701</v>
      </c>
      <c r="F163" s="15" t="s">
        <v>702</v>
      </c>
    </row>
    <row r="164" customFormat="false" ht="15" hidden="false" customHeight="false" outlineLevel="0" collapsed="false">
      <c r="A164" s="15" t="s">
        <v>312</v>
      </c>
      <c r="B164" s="15" t="s">
        <v>311</v>
      </c>
      <c r="C164" s="15" t="s">
        <v>22</v>
      </c>
      <c r="D164" s="15" t="n">
        <v>2</v>
      </c>
      <c r="E164" s="15" t="s">
        <v>526</v>
      </c>
      <c r="F164" s="15" t="s">
        <v>527</v>
      </c>
    </row>
    <row r="165" customFormat="false" ht="15" hidden="false" customHeight="false" outlineLevel="0" collapsed="false">
      <c r="A165" s="15" t="s">
        <v>312</v>
      </c>
      <c r="B165" s="15" t="s">
        <v>311</v>
      </c>
      <c r="C165" s="15" t="s">
        <v>22</v>
      </c>
      <c r="D165" s="15" t="n">
        <v>3</v>
      </c>
      <c r="E165" s="15" t="s">
        <v>534</v>
      </c>
      <c r="F165" s="15" t="s">
        <v>618</v>
      </c>
    </row>
    <row r="166" customFormat="false" ht="15" hidden="false" customHeight="false" outlineLevel="0" collapsed="false">
      <c r="A166" s="15" t="s">
        <v>317</v>
      </c>
      <c r="B166" s="15" t="s">
        <v>316</v>
      </c>
      <c r="C166" s="15" t="s">
        <v>22</v>
      </c>
      <c r="D166" s="15" t="n">
        <v>1</v>
      </c>
      <c r="E166" s="15" t="s">
        <v>508</v>
      </c>
      <c r="F166" s="15" t="s">
        <v>509</v>
      </c>
    </row>
    <row r="167" customFormat="false" ht="15" hidden="false" customHeight="false" outlineLevel="0" collapsed="false">
      <c r="A167" s="15" t="s">
        <v>317</v>
      </c>
      <c r="B167" s="15" t="s">
        <v>316</v>
      </c>
      <c r="C167" s="15" t="s">
        <v>22</v>
      </c>
      <c r="D167" s="15" t="n">
        <v>2</v>
      </c>
      <c r="E167" s="15" t="s">
        <v>703</v>
      </c>
      <c r="F167" s="15" t="s">
        <v>704</v>
      </c>
    </row>
    <row r="168" customFormat="false" ht="15" hidden="false" customHeight="false" outlineLevel="0" collapsed="false">
      <c r="A168" s="15" t="s">
        <v>317</v>
      </c>
      <c r="B168" s="15" t="s">
        <v>316</v>
      </c>
      <c r="C168" s="15" t="s">
        <v>22</v>
      </c>
      <c r="D168" s="15" t="n">
        <v>3</v>
      </c>
      <c r="E168" s="15" t="s">
        <v>705</v>
      </c>
      <c r="F168" s="15" t="s">
        <v>706</v>
      </c>
    </row>
    <row r="169" customFormat="false" ht="15" hidden="false" customHeight="false" outlineLevel="0" collapsed="false">
      <c r="A169" s="15" t="s">
        <v>317</v>
      </c>
      <c r="B169" s="15" t="s">
        <v>316</v>
      </c>
      <c r="C169" s="15" t="s">
        <v>22</v>
      </c>
      <c r="D169" s="15" t="n">
        <v>4</v>
      </c>
      <c r="E169" s="15" t="s">
        <v>623</v>
      </c>
      <c r="F169" s="15" t="s">
        <v>624</v>
      </c>
    </row>
    <row r="170" customFormat="false" ht="15" hidden="false" customHeight="false" outlineLevel="0" collapsed="false">
      <c r="A170" s="15" t="s">
        <v>317</v>
      </c>
      <c r="B170" s="15" t="s">
        <v>316</v>
      </c>
      <c r="C170" s="15" t="s">
        <v>22</v>
      </c>
      <c r="D170" s="15" t="n">
        <v>5</v>
      </c>
      <c r="E170" s="15" t="s">
        <v>707</v>
      </c>
      <c r="F170" s="15" t="s">
        <v>708</v>
      </c>
    </row>
    <row r="171" customFormat="false" ht="15" hidden="false" customHeight="false" outlineLevel="0" collapsed="false">
      <c r="A171" s="15" t="s">
        <v>322</v>
      </c>
      <c r="B171" s="15" t="s">
        <v>321</v>
      </c>
      <c r="C171" s="15" t="s">
        <v>22</v>
      </c>
      <c r="D171" s="15" t="n">
        <v>1</v>
      </c>
      <c r="E171" s="15" t="s">
        <v>709</v>
      </c>
      <c r="F171" s="15" t="s">
        <v>709</v>
      </c>
    </row>
    <row r="172" customFormat="false" ht="15" hidden="false" customHeight="false" outlineLevel="0" collapsed="false">
      <c r="A172" s="15" t="s">
        <v>322</v>
      </c>
      <c r="B172" s="15" t="s">
        <v>321</v>
      </c>
      <c r="C172" s="15" t="s">
        <v>22</v>
      </c>
      <c r="D172" s="15" t="n">
        <v>2</v>
      </c>
      <c r="E172" s="15" t="s">
        <v>710</v>
      </c>
      <c r="F172" s="15" t="s">
        <v>711</v>
      </c>
    </row>
    <row r="173" customFormat="false" ht="15" hidden="false" customHeight="false" outlineLevel="0" collapsed="false">
      <c r="A173" s="15" t="s">
        <v>322</v>
      </c>
      <c r="B173" s="15" t="s">
        <v>321</v>
      </c>
      <c r="C173" s="15" t="s">
        <v>22</v>
      </c>
      <c r="D173" s="15" t="n">
        <v>3</v>
      </c>
      <c r="E173" s="15" t="s">
        <v>712</v>
      </c>
      <c r="F173" s="15" t="s">
        <v>713</v>
      </c>
    </row>
    <row r="174" customFormat="false" ht="15" hidden="false" customHeight="false" outlineLevel="0" collapsed="false">
      <c r="A174" s="15" t="s">
        <v>322</v>
      </c>
      <c r="B174" s="15" t="s">
        <v>321</v>
      </c>
      <c r="C174" s="15" t="s">
        <v>22</v>
      </c>
      <c r="D174" s="15" t="n">
        <v>4</v>
      </c>
      <c r="E174" s="15" t="s">
        <v>714</v>
      </c>
      <c r="F174" s="15" t="s">
        <v>715</v>
      </c>
    </row>
    <row r="175" customFormat="false" ht="15" hidden="false" customHeight="false" outlineLevel="0" collapsed="false">
      <c r="A175" s="15" t="s">
        <v>322</v>
      </c>
      <c r="B175" s="15" t="s">
        <v>321</v>
      </c>
      <c r="C175" s="15" t="s">
        <v>22</v>
      </c>
      <c r="D175" s="15" t="n">
        <v>5</v>
      </c>
      <c r="E175" s="15" t="s">
        <v>716</v>
      </c>
      <c r="F175" s="15" t="s">
        <v>717</v>
      </c>
    </row>
    <row r="176" customFormat="false" ht="15" hidden="false" customHeight="false" outlineLevel="0" collapsed="false">
      <c r="A176" s="15" t="s">
        <v>328</v>
      </c>
      <c r="B176" s="15" t="s">
        <v>327</v>
      </c>
      <c r="C176" s="15" t="s">
        <v>26</v>
      </c>
      <c r="D176" s="15" t="n">
        <v>1</v>
      </c>
      <c r="E176" s="15" t="s">
        <v>718</v>
      </c>
      <c r="F176" s="15" t="s">
        <v>719</v>
      </c>
    </row>
    <row r="177" customFormat="false" ht="15" hidden="false" customHeight="false" outlineLevel="0" collapsed="false">
      <c r="A177" s="15" t="s">
        <v>328</v>
      </c>
      <c r="B177" s="15" t="s">
        <v>327</v>
      </c>
      <c r="C177" s="15" t="s">
        <v>26</v>
      </c>
      <c r="D177" s="15" t="n">
        <v>2</v>
      </c>
      <c r="E177" s="15" t="s">
        <v>689</v>
      </c>
      <c r="F177" s="15" t="s">
        <v>720</v>
      </c>
    </row>
    <row r="178" customFormat="false" ht="15" hidden="false" customHeight="false" outlineLevel="0" collapsed="false">
      <c r="A178" s="15" t="s">
        <v>328</v>
      </c>
      <c r="B178" s="15" t="s">
        <v>327</v>
      </c>
      <c r="C178" s="15" t="s">
        <v>26</v>
      </c>
      <c r="D178" s="15" t="n">
        <v>3</v>
      </c>
      <c r="E178" s="15" t="s">
        <v>721</v>
      </c>
      <c r="F178" s="15" t="s">
        <v>722</v>
      </c>
    </row>
    <row r="179" customFormat="false" ht="15" hidden="false" customHeight="false" outlineLevel="0" collapsed="false">
      <c r="A179" s="15" t="s">
        <v>334</v>
      </c>
      <c r="B179" s="15" t="s">
        <v>333</v>
      </c>
      <c r="C179" s="15" t="s">
        <v>26</v>
      </c>
      <c r="D179" s="15" t="n">
        <v>1</v>
      </c>
      <c r="E179" s="15" t="s">
        <v>492</v>
      </c>
      <c r="F179" s="15" t="s">
        <v>493</v>
      </c>
    </row>
    <row r="180" customFormat="false" ht="15" hidden="false" customHeight="false" outlineLevel="0" collapsed="false">
      <c r="A180" s="15" t="s">
        <v>334</v>
      </c>
      <c r="B180" s="15" t="s">
        <v>333</v>
      </c>
      <c r="C180" s="15" t="s">
        <v>26</v>
      </c>
      <c r="D180" s="15" t="n">
        <v>2</v>
      </c>
      <c r="E180" s="15" t="s">
        <v>534</v>
      </c>
      <c r="F180" s="15" t="s">
        <v>618</v>
      </c>
    </row>
    <row r="181" customFormat="false" ht="15" hidden="false" customHeight="false" outlineLevel="0" collapsed="false">
      <c r="A181" s="15" t="s">
        <v>341</v>
      </c>
      <c r="B181" s="15" t="s">
        <v>340</v>
      </c>
      <c r="C181" s="15" t="s">
        <v>26</v>
      </c>
      <c r="D181" s="15" t="n">
        <v>1</v>
      </c>
      <c r="E181" s="15" t="s">
        <v>723</v>
      </c>
      <c r="F181" s="15" t="s">
        <v>724</v>
      </c>
    </row>
    <row r="182" customFormat="false" ht="15" hidden="false" customHeight="false" outlineLevel="0" collapsed="false">
      <c r="A182" s="15" t="s">
        <v>341</v>
      </c>
      <c r="B182" s="15" t="s">
        <v>340</v>
      </c>
      <c r="C182" s="15" t="s">
        <v>26</v>
      </c>
      <c r="D182" s="15" t="n">
        <v>2</v>
      </c>
      <c r="E182" s="15" t="s">
        <v>725</v>
      </c>
      <c r="F182" s="15" t="s">
        <v>726</v>
      </c>
    </row>
    <row r="183" customFormat="false" ht="15" hidden="false" customHeight="false" outlineLevel="0" collapsed="false">
      <c r="A183" s="15" t="s">
        <v>341</v>
      </c>
      <c r="B183" s="15" t="s">
        <v>340</v>
      </c>
      <c r="C183" s="15" t="s">
        <v>26</v>
      </c>
      <c r="D183" s="15" t="n">
        <v>3</v>
      </c>
      <c r="E183" s="15" t="s">
        <v>727</v>
      </c>
      <c r="F183" s="15" t="s">
        <v>728</v>
      </c>
    </row>
    <row r="184" customFormat="false" ht="15" hidden="false" customHeight="false" outlineLevel="0" collapsed="false">
      <c r="A184" s="15" t="s">
        <v>341</v>
      </c>
      <c r="B184" s="15" t="s">
        <v>340</v>
      </c>
      <c r="C184" s="15" t="s">
        <v>26</v>
      </c>
      <c r="D184" s="15" t="n">
        <v>4</v>
      </c>
      <c r="E184" s="15" t="s">
        <v>729</v>
      </c>
      <c r="F184" s="15" t="s">
        <v>730</v>
      </c>
    </row>
    <row r="185" customFormat="false" ht="15" hidden="false" customHeight="false" outlineLevel="0" collapsed="false">
      <c r="A185" s="15" t="s">
        <v>341</v>
      </c>
      <c r="B185" s="15" t="s">
        <v>340</v>
      </c>
      <c r="C185" s="15" t="s">
        <v>26</v>
      </c>
      <c r="D185" s="15" t="n">
        <v>5</v>
      </c>
      <c r="E185" s="15" t="s">
        <v>506</v>
      </c>
      <c r="F185" s="15" t="s">
        <v>507</v>
      </c>
    </row>
    <row r="186" customFormat="false" ht="15" hidden="false" customHeight="false" outlineLevel="0" collapsed="false">
      <c r="A186" s="15" t="s">
        <v>347</v>
      </c>
      <c r="B186" s="15" t="s">
        <v>346</v>
      </c>
      <c r="C186" s="15" t="s">
        <v>26</v>
      </c>
      <c r="D186" s="15" t="n">
        <v>1</v>
      </c>
      <c r="E186" s="15" t="s">
        <v>731</v>
      </c>
      <c r="F186" s="15" t="s">
        <v>732</v>
      </c>
    </row>
    <row r="187" customFormat="false" ht="15" hidden="false" customHeight="false" outlineLevel="0" collapsed="false">
      <c r="A187" s="15" t="s">
        <v>347</v>
      </c>
      <c r="B187" s="15" t="s">
        <v>346</v>
      </c>
      <c r="C187" s="15" t="s">
        <v>26</v>
      </c>
      <c r="D187" s="15" t="n">
        <v>2</v>
      </c>
      <c r="E187" s="15" t="s">
        <v>689</v>
      </c>
      <c r="F187" s="15" t="s">
        <v>733</v>
      </c>
    </row>
    <row r="188" customFormat="false" ht="15" hidden="false" customHeight="false" outlineLevel="0" collapsed="false">
      <c r="A188" s="15" t="s">
        <v>347</v>
      </c>
      <c r="B188" s="15" t="s">
        <v>346</v>
      </c>
      <c r="C188" s="15" t="s">
        <v>26</v>
      </c>
      <c r="D188" s="15" t="n">
        <v>3</v>
      </c>
      <c r="E188" s="15" t="s">
        <v>734</v>
      </c>
      <c r="F188" s="15" t="s">
        <v>735</v>
      </c>
    </row>
    <row r="189" customFormat="false" ht="15" hidden="false" customHeight="false" outlineLevel="0" collapsed="false">
      <c r="A189" s="15" t="s">
        <v>352</v>
      </c>
      <c r="B189" s="15" t="s">
        <v>351</v>
      </c>
      <c r="C189" s="15" t="s">
        <v>26</v>
      </c>
      <c r="D189" s="15" t="n">
        <v>1</v>
      </c>
      <c r="E189" s="15" t="s">
        <v>556</v>
      </c>
      <c r="F189" s="15" t="s">
        <v>557</v>
      </c>
    </row>
    <row r="190" customFormat="false" ht="15" hidden="false" customHeight="false" outlineLevel="0" collapsed="false">
      <c r="A190" s="15" t="s">
        <v>352</v>
      </c>
      <c r="B190" s="15" t="s">
        <v>351</v>
      </c>
      <c r="C190" s="15" t="s">
        <v>26</v>
      </c>
      <c r="D190" s="15" t="n">
        <v>2</v>
      </c>
      <c r="E190" s="15" t="s">
        <v>736</v>
      </c>
      <c r="F190" s="15" t="s">
        <v>737</v>
      </c>
    </row>
    <row r="191" customFormat="false" ht="15" hidden="false" customHeight="false" outlineLevel="0" collapsed="false">
      <c r="A191" s="15" t="s">
        <v>352</v>
      </c>
      <c r="B191" s="15" t="s">
        <v>351</v>
      </c>
      <c r="C191" s="15" t="s">
        <v>26</v>
      </c>
      <c r="D191" s="15" t="n">
        <v>3</v>
      </c>
      <c r="E191" s="15" t="s">
        <v>738</v>
      </c>
      <c r="F191" s="15" t="s">
        <v>738</v>
      </c>
    </row>
    <row r="192" customFormat="false" ht="15" hidden="false" customHeight="false" outlineLevel="0" collapsed="false">
      <c r="A192" s="15" t="s">
        <v>352</v>
      </c>
      <c r="B192" s="15" t="s">
        <v>351</v>
      </c>
      <c r="C192" s="15" t="s">
        <v>26</v>
      </c>
      <c r="D192" s="15" t="n">
        <v>4</v>
      </c>
      <c r="E192" s="15" t="s">
        <v>739</v>
      </c>
      <c r="F192" s="15" t="s">
        <v>739</v>
      </c>
    </row>
    <row r="193" customFormat="false" ht="15" hidden="false" customHeight="false" outlineLevel="0" collapsed="false">
      <c r="A193" s="15" t="s">
        <v>352</v>
      </c>
      <c r="B193" s="15" t="s">
        <v>351</v>
      </c>
      <c r="C193" s="15" t="s">
        <v>26</v>
      </c>
      <c r="D193" s="15" t="n">
        <v>5</v>
      </c>
      <c r="E193" s="15" t="s">
        <v>740</v>
      </c>
      <c r="F193" s="15" t="s">
        <v>741</v>
      </c>
    </row>
    <row r="194" customFormat="false" ht="15" hidden="false" customHeight="false" outlineLevel="0" collapsed="false">
      <c r="A194" s="15" t="s">
        <v>358</v>
      </c>
      <c r="B194" s="15" t="s">
        <v>357</v>
      </c>
      <c r="C194" s="15" t="s">
        <v>26</v>
      </c>
      <c r="D194" s="15" t="s">
        <v>362</v>
      </c>
      <c r="E194" s="15" t="s">
        <v>362</v>
      </c>
      <c r="F194" s="15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2026-07-07T16:34:46Z</dcterms:created>
  <dc:creator>openpyxl</dc:creator>
  <dc:description/>
  <dc:language>en-US</dc:language>
  <cp:lastModifiedBy/>
  <dcterms:modified xsi:type="dcterms:W3CDTF">2026-07-07T16:34:46Z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